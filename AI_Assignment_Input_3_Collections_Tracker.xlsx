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05aaa96553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llections Tracker" sheetId="1" r:id="R50c6f90698dd4e37"/>
    <x:sheet xmlns:r="http://schemas.openxmlformats.org/officeDocument/2006/relationships" name="README" sheetId="2" r:id="R5b34af09f9084b51"/>
    <x:sheet xmlns:r="http://schemas.openxmlformats.org/officeDocument/2006/relationships" name="Lookup" sheetId="3" r:id="R08c5571bdb844d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305496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2" fillId="3" borderId="0" xfId="0" applyNumberFormat="1" applyFont="1" applyFill="1" applyBorder="1"/>
    <x:xf numFmtId="0" fontId="0" fillId="3" borderId="1" xfId="0" applyNumberFormat="1" applyFont="1" applyFill="1" applyBorder="1"/>
    <x:xf numFmtId="20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8CBAD"/>
        </x:patternFill>
      </x:fill>
    </x:dxf>
    <x:dxf>
      <x:fill>
        <x:patternFill>
          <x:bgColor rgb="FFFFE699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8b4d5a510e4141" /><Relationship Type="http://schemas.openxmlformats.org/officeDocument/2006/relationships/theme" Target="/xl/theme/theme1.xml" Id="R1f913baf3114448b" /><Relationship Type="http://schemas.openxmlformats.org/officeDocument/2006/relationships/sharedStrings" Target="/xl/sharedStrings.xml" Id="R0a145d9a4fc64639" /><Relationship Type="http://schemas.openxmlformats.org/officeDocument/2006/relationships/worksheet" Target="/xl/worksheets/sheet1.xml" Id="R50c6f90698dd4e37" /><Relationship Type="http://schemas.openxmlformats.org/officeDocument/2006/relationships/worksheet" Target="/xl/worksheets/sheet2.xml" Id="R5b34af09f9084b51" /><Relationship Type="http://schemas.openxmlformats.org/officeDocument/2006/relationships/worksheet" Target="/xl/worksheets/sheet3.xml" Id="R08c5571bdb844d7e" /></Relationships>
</file>

<file path=xl/tables/table1.xml><?xml version="1.0" encoding="utf-8"?>
<x:table xmlns:x="http://schemas.openxmlformats.org/spreadsheetml/2006/main" id="1" name="CollectionsTracker" displayName="CollectionsTracker" ref="A4:Q109" headerRowCount="1">
  <x:tableColumns count="17">
    <x:tableColumn id="1" name="Project Name"/>
    <x:tableColumn id="2" name="Unit Number"/>
    <x:tableColumn id="3" name="SAP Customer Code"/>
    <x:tableColumn id="4" name="Customer Name"/>
    <x:tableColumn id="5" name="Agreement Value"/>
    <x:tableColumn id="6" name="Milestone Linked"/>
    <x:tableColumn id="7" name="Demand Raised Date"/>
    <x:tableColumn id="8" name="Demand Amount"/>
    <x:tableColumn id="9" name="Due Date"/>
    <x:tableColumn id="10" name="Amount Collected"/>
    <x:tableColumn id="11" name="Outstanding Amount"/>
    <x:tableColumn id="12" name="Days Overdue"/>
    <x:tableColumn id="13" name="Collection Status"/>
    <x:tableColumn id="14" name="Collections Owner"/>
    <x:tableColumn id="15" name="Customer Risk Flag"/>
    <x:tableColumn id="16" name="Remarks"/>
    <x:tableColumn id="17" name="Sales Own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24b55cb7f76456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16" hidden="0" customWidth="1"/>
    <x:col min="4" max="4" width="22" hidden="0" customWidth="1"/>
    <x:col min="5" max="5" width="14" hidden="0" customWidth="1"/>
    <x:col min="6" max="6" width="20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16" hidden="0" customWidth="1"/>
    <x:col min="14" max="14" width="18" hidden="0" customWidth="1"/>
    <x:col min="15" max="15" width="14" hidden="0" customWidth="1"/>
    <x:col min="16" max="16" width="32" hidden="0" customWidth="1"/>
    <x:col min="17" max="17" width="18" hidden="0" customWidth="1"/>
  </x:cols>
  <x:sheetData>
    <x:row r="1">
      <x:c r="A1" s="4" t="str">
        <x:v>AI Assignment Input 3 - Collections Tracker</x:v>
      </x:c>
    </x:row>
    <x:row r="2">
      <x:c r="A2" s="12" t="str">
        <x:v>As of Date</x:v>
      </x:c>
      <x:c r="B2" s="13" t="n">
        <x:v>46234</x:v>
      </x:c>
      <x:c r="C2" s="12" t="str">
        <x:v>Currency</x:v>
      </x:c>
      <x:c r="D2" s="12" t="str">
        <x:v>INR</x:v>
      </x:c>
    </x:row>
    <x:row r="4">
      <x:c r="A4" s="27" t="str">
        <x:v>Project Name</x:v>
      </x:c>
      <x:c r="B4" s="27" t="str">
        <x:v>Unit Number</x:v>
      </x:c>
      <x:c r="C4" s="27" t="str">
        <x:v>SAP Customer Code</x:v>
      </x:c>
      <x:c r="D4" s="27" t="str">
        <x:v>Customer Name</x:v>
      </x:c>
      <x:c r="E4" s="27" t="str">
        <x:v>Agreement Value</x:v>
      </x:c>
      <x:c r="F4" s="27" t="str">
        <x:v>Milestone Linked</x:v>
      </x:c>
      <x:c r="G4" s="27" t="str">
        <x:v>Demand Raised Date</x:v>
      </x:c>
      <x:c r="H4" s="27" t="str">
        <x:v>Demand Amount</x:v>
      </x:c>
      <x:c r="I4" s="27" t="str">
        <x:v>Due Date</x:v>
      </x:c>
      <x:c r="J4" s="27" t="str">
        <x:v>Amount Collected</x:v>
      </x:c>
      <x:c r="K4" s="27" t="str">
        <x:v>Outstanding Amount</x:v>
      </x:c>
      <x:c r="L4" s="27" t="str">
        <x:v>Days Overdue</x:v>
      </x:c>
      <x:c r="M4" s="27" t="str">
        <x:v>Collection Status</x:v>
      </x:c>
      <x:c r="N4" s="27" t="str">
        <x:v>Collections Owner</x:v>
      </x:c>
      <x:c r="O4" s="27" t="str">
        <x:v>Customer Risk Flag</x:v>
      </x:c>
      <x:c r="P4" s="27" t="str">
        <x:v>Remarks</x:v>
      </x:c>
      <x:c r="Q4" s="27" t="str">
        <x:v>Sales Owner</x:v>
      </x:c>
    </x:row>
    <x:row r="5">
      <x:c r="A5" s="28" t="str">
        <x:v>Aster Grove Residences</x:v>
      </x:c>
      <x:c r="B5" s="28" t="str">
        <x:v>AGR-A2505</x:v>
      </x:c>
      <x:c r="C5" s="28" t="str">
        <x:v>88356787</x:v>
      </x:c>
      <x:c r="D5" s="28" t="str">
        <x:v>Ira Rastogi</x:v>
      </x:c>
      <x:c r="E5" s="32" t="n">
        <x:v>7559000</x:v>
      </x:c>
      <x:c r="F5" s="28" t="str">
        <x:v>Booking</x:v>
      </x:c>
      <x:c r="G5" s="34" t="n">
        <x:v>46122</x:v>
      </x:c>
      <x:c r="H5" s="32" t="n">
        <x:v>756000</x:v>
      </x:c>
      <x:c r="I5" s="34" t="n">
        <x:v>46152</x:v>
      </x:c>
      <x:c r="J5" s="32" t="n">
        <x:v>189000</x:v>
      </x:c>
      <x:c r="K5" s="32" t="n">
        <x:f>IF(OR(ISBLANK(H5),ISBLANK(J5)),"",H5-J5)</x:f>
        <x:v>567000</x:v>
      </x:c>
      <x:c r="L5" s="36" t="n">
        <x:f>IF(OR(ISBLANK(I5),ISBLANK(K5)),"",MAX(0,$B$2-I5))</x:f>
        <x:v>82</x:v>
      </x:c>
      <x:c r="M5" s="28" t="str">
        <x:f>IF(ISBLANK(H5),"Missing Demand",IF(K5&lt;=0,"Paid",IF(ISBLANK(I5),"Due Date Missing",IF(I5&gt;$B$2,"Not Due",IF(J5&gt;0,"Part Paid","Overdue")))))</x:f>
        <x:v>Part Paid</x:v>
      </x:c>
      <x:c r="N5" s="28" t="str">
        <x:v>Rohan Iyer</x:v>
      </x:c>
      <x:c r="O5" s="28" t="str">
        <x:f>IF(OR(K5&gt;500000,L5&gt;30,ISBLANK(N5)),"Yes","No")</x:f>
        <x:v>Yes</x:v>
      </x:c>
      <x:c r="P5" s="28" t="str">
        <x:v>Payment promised this week</x:v>
      </x:c>
      <x:c r="Q5" s="28" t="str">
        <x:v>Mitali Verma</x:v>
      </x:c>
    </x:row>
    <x:row r="6">
      <x:c r="A6" s="28" t="str">
        <x:v>Aster Grove Residences</x:v>
      </x:c>
      <x:c r="B6" s="28" t="str">
        <x:v>AGR-A2505</x:v>
      </x:c>
      <x:c r="C6" s="28" t="str">
        <x:v>88356787</x:v>
      </x:c>
      <x:c r="D6" s="28" t="str">
        <x:v>Ira Rastogi</x:v>
      </x:c>
      <x:c r="E6" s="32" t="n">
        <x:v>7559000</x:v>
      </x:c>
      <x:c r="F6" s="28" t="str">
        <x:v>Agreement</x:v>
      </x:c>
      <x:c r="G6" s="34" t="n">
        <x:v>46117</x:v>
      </x:c>
      <x:c r="H6" s="32" t="n">
        <x:v>756000</x:v>
      </x:c>
      <x:c r="I6" s="34" t="n">
        <x:v>46132</x:v>
      </x:c>
      <x:c r="J6" s="32" t="n">
        <x:v>756000</x:v>
      </x:c>
      <x:c r="K6" s="32" t="n">
        <x:f>IF(OR(ISBLANK(H6),ISBLANK(J6)),"",H6-J6)</x:f>
        <x:v>0</x:v>
      </x:c>
      <x:c r="L6" s="36" t="n">
        <x:f>IF(OR(ISBLANK(I6),ISBLANK(K6)),"",MAX(0,$B$2-I6))</x:f>
        <x:v>102</x:v>
      </x:c>
      <x:c r="M6" s="28" t="str">
        <x:f>IF(ISBLANK(H6),"Missing Demand",IF(K6&lt;=0,"Paid",IF(ISBLANK(I6),"Due Date Missing",IF(I6&gt;$B$2,"Not Due",IF(J6&gt;0,"Part Paid","Overdue")))))</x:f>
        <x:v>Paid</x:v>
      </x:c>
      <x:c r="N6" s="28" t="str">
        <x:v>Kunal Shah</x:v>
      </x:c>
      <x:c r="O6" s="28" t="str">
        <x:f>IF(OR(K6&gt;500000,L6&gt;30,ISBLANK(N6)),"Yes","No")</x:f>
        <x:v>Yes</x:v>
      </x:c>
      <x:c r="P6" s="28" t="str">
        <x:v>Customer funding pending</x:v>
      </x:c>
      <x:c r="Q6" s="28" t="str">
        <x:v>Mitali Verma</x:v>
      </x:c>
    </x:row>
    <x:row r="7">
      <x:c r="A7" s="28" t="str">
        <x:v>Aster Grove Residences</x:v>
      </x:c>
      <x:c r="B7" s="28" t="str">
        <x:v>AGR-A2505</x:v>
      </x:c>
      <x:c r="C7" s="28" t="str">
        <x:v>88356787</x:v>
      </x:c>
      <x:c r="D7" s="28" t="str">
        <x:v>Ira Rastogi</x:v>
      </x:c>
      <x:c r="E7" s="32" t="n">
        <x:v>7559000</x:v>
      </x:c>
      <x:c r="F7" s="28" t="str">
        <x:v>Structure Completion</x:v>
      </x:c>
      <x:c r="G7" s="34" t="n">
        <x:v>46211</x:v>
      </x:c>
      <x:c r="H7" s="32" t="n">
        <x:v>1512000</x:v>
      </x:c>
      <x:c r="I7" s="34" t="n">
        <x:v>46241</x:v>
      </x:c>
      <x:c r="J7" s="32" t="n">
        <x:v>302000</x:v>
      </x:c>
      <x:c r="K7" s="32" t="n">
        <x:f>IF(OR(ISBLANK(H7),ISBLANK(J7)),"",H7-J7)</x:f>
        <x:v>1210000</x:v>
      </x:c>
      <x:c r="L7" s="36" t="n">
        <x:f>IF(OR(ISBLANK(I7),ISBLANK(K7)),"",MAX(0,$B$2-I7))</x:f>
        <x:v>0</x:v>
      </x:c>
      <x:c r="M7" s="28" t="str">
        <x:f>IF(ISBLANK(H7),"Missing Demand",IF(K7&lt;=0,"Paid",IF(ISBLANK(I7),"Due Date Missing",IF(I7&gt;$B$2,"Not Due",IF(J7&gt;0,"Part Paid","Overdue")))))</x:f>
        <x:v>Not Due</x:v>
      </x:c>
      <x:c r="N7" s="28" t="str">
        <x:v>Priya Menon</x:v>
      </x:c>
      <x:c r="O7" s="28" t="str">
        <x:f>IF(OR(K7&gt;500000,L7&gt;30,ISBLANK(N7)),"Yes","No")</x:f>
        <x:v>Yes</x:v>
      </x:c>
      <x:c r="P7" s="28" t="str">
        <x:v>Documentation pending</x:v>
      </x:c>
      <x:c r="Q7" s="28" t="str">
        <x:v>Mitali Verma</x:v>
      </x:c>
    </x:row>
    <x:row r="8">
      <x:c r="A8" s="28" t="str">
        <x:v>Aster Grove Residences</x:v>
      </x:c>
      <x:c r="B8" s="28" t="str">
        <x:v>AGR-B2407</x:v>
      </x:c>
      <x:c r="C8" s="28" t="str">
        <x:v>88456778</x:v>
      </x:c>
      <x:c r="D8" s="28" t="str">
        <x:v>Dev Rastogi</x:v>
      </x:c>
      <x:c r="E8" s="32" t="n">
        <x:v>6771000</x:v>
      </x:c>
      <x:c r="F8" s="28" t="str">
        <x:v>Booking</x:v>
      </x:c>
      <x:c r="G8" s="34" t="n">
        <x:v>46115</x:v>
      </x:c>
      <x:c r="H8" s="32" t="n">
        <x:v>677000</x:v>
      </x:c>
      <x:c r="I8" s="34" t="n">
        <x:v>46136</x:v>
      </x:c>
      <x:c r="J8" s="32" t="n">
        <x:v>677000</x:v>
      </x:c>
      <x:c r="K8" s="32" t="n">
        <x:f>IF(OR(ISBLANK(H8),ISBLANK(J8)),"",H8-J8)</x:f>
        <x:v>0</x:v>
      </x:c>
      <x:c r="L8" s="36" t="n">
        <x:f>IF(OR(ISBLANK(I8),ISBLANK(K8)),"",MAX(0,$B$2-I8))</x:f>
        <x:v>98</x:v>
      </x:c>
      <x:c r="M8" s="28" t="str">
        <x:f>IF(ISBLANK(H8),"Missing Demand",IF(K8&lt;=0,"Paid",IF(ISBLANK(I8),"Due Date Missing",IF(I8&gt;$B$2,"Not Due",IF(J8&gt;0,"Part Paid","Overdue")))))</x:f>
        <x:v>Paid</x:v>
      </x:c>
      <x:c r="N8" s="28" t="str">
        <x:v>Meera Nair</x:v>
      </x:c>
      <x:c r="O8" s="28" t="str">
        <x:f>IF(OR(K8&gt;500000,L8&gt;30,ISBLANK(N8)),"Yes","No")</x:f>
        <x:v>Yes</x:v>
      </x:c>
      <x:c r="P8" s="28" t="str">
        <x:v>No concern raised</x:v>
      </x:c>
      <x:c r="Q8" s="28" t="str">
        <x:v>Sahil Bhatia</x:v>
      </x:c>
    </x:row>
    <x:row r="9">
      <x:c r="A9" s="28" t="str">
        <x:v>Aster Grove Residences</x:v>
      </x:c>
      <x:c r="B9" s="28" t="str">
        <x:v>AGR-X9999</x:v>
      </x:c>
      <x:c r="C9" s="28" t="str">
        <x:v>88456778</x:v>
      </x:c>
      <x:c r="D9" s="28" t="str">
        <x:v>Dev Rastogi</x:v>
      </x:c>
      <x:c r="E9" s="32" t="n">
        <x:v>6771000</x:v>
      </x:c>
      <x:c r="F9" s="28" t="str">
        <x:v>Agreement</x:v>
      </x:c>
      <x:c r="G9" s="34" t="n">
        <x:v>46128</x:v>
      </x:c>
      <x:c r="H9" s="32" t="n">
        <x:v>677000</x:v>
      </x:c>
      <x:c r="I9" s="34" t="n">
        <x:v>46149</x:v>
      </x:c>
      <x:c r="J9" s="32" t="n">
        <x:v>677000</x:v>
      </x:c>
      <x:c r="K9" s="32" t="n">
        <x:f>IF(OR(ISBLANK(H9),ISBLANK(J9)),"",H9-J9)</x:f>
        <x:v>0</x:v>
      </x:c>
      <x:c r="L9" s="36" t="n">
        <x:f>IF(OR(ISBLANK(I9),ISBLANK(K9)),"",MAX(0,$B$2-I9))</x:f>
        <x:v>85</x:v>
      </x:c>
      <x:c r="M9" s="28" t="str">
        <x:f>IF(ISBLANK(H9),"Missing Demand",IF(K9&lt;=0,"Paid",IF(ISBLANK(I9),"Due Date Missing",IF(I9&gt;$B$2,"Not Due",IF(J9&gt;0,"Part Paid","Overdue")))))</x:f>
        <x:v>Paid</x:v>
      </x:c>
      <x:c r="N9" s="28" t="str">
        <x:v>Ankit Suri</x:v>
      </x:c>
      <x:c r="O9" s="28" t="str">
        <x:f>IF(OR(K9&gt;500000,L9&gt;30,ISBLANK(N9)),"Yes","No")</x:f>
        <x:v>Yes</x:v>
      </x:c>
      <x:c r="P9" s="28" t="str">
        <x:v>Demand not acknowledged</x:v>
      </x:c>
      <x:c r="Q9" s="28" t="str">
        <x:v>Sahil Bhatia</x:v>
      </x:c>
    </x:row>
    <x:row r="10">
      <x:c r="A10" s="28" t="str">
        <x:v>Aster Grove Residences</x:v>
      </x:c>
      <x:c r="B10" s="28" t="str">
        <x:v>AGR-B2407</x:v>
      </x:c>
      <x:c r="C10" s="28" t="str">
        <x:v>88456778</x:v>
      </x:c>
      <x:c r="D10" s="28" t="str">
        <x:v>Dev Rastogi</x:v>
      </x:c>
      <x:c r="E10" s="32" t="n">
        <x:v>6771000</x:v>
      </x:c>
      <x:c r="F10" s="28" t="str">
        <x:v>Excavation</x:v>
      </x:c>
      <x:c r="G10" s="34" t="n">
        <x:v>46233</x:v>
      </x:c>
      <x:c r="H10" s="32" t="n">
        <x:v>677000</x:v>
      </x:c>
      <x:c r="I10" s="34" t="n">
        <x:v>46263</x:v>
      </x:c>
      <x:c r="J10" s="32" t="n">
        <x:v>0</x:v>
      </x:c>
      <x:c r="K10" s="32" t="n">
        <x:f>IF(OR(ISBLANK(H10),ISBLANK(J10)),"",H10-J10)</x:f>
        <x:v>677000</x:v>
      </x:c>
      <x:c r="L10" s="36" t="n">
        <x:f>IF(OR(ISBLANK(I10),ISBLANK(K10)),"",MAX(0,$B$2-I10))</x:f>
        <x:v>0</x:v>
      </x:c>
      <x:c r="M10" s="28" t="str">
        <x:f>IF(ISBLANK(H10),"Missing Demand",IF(K10&lt;=0,"Paid",IF(ISBLANK(I10),"Due Date Missing",IF(I10&gt;$B$2,"Not Due",IF(J10&gt;0,"Part Paid","Overdue")))))</x:f>
        <x:v>Not Due</x:v>
      </x:c>
      <x:c r="N10" s="28" t="str">
        <x:v>Priya Menon</x:v>
      </x:c>
      <x:c r="O10" s="28" t="str">
        <x:f>IF(OR(K10&gt;500000,L10&gt;30,ISBLANK(N10)),"Yes","No")</x:f>
        <x:v>Yes</x:v>
      </x:c>
      <x:c r="P10" s="28" t="str">
        <x:v>Bank disbursement delayed</x:v>
      </x:c>
      <x:c r="Q10" s="28" t="str">
        <x:v>Sahil Bhatia</x:v>
      </x:c>
    </x:row>
    <x:row r="11">
      <x:c r="A11" s="28" t="str">
        <x:v>Aster Grove Residences</x:v>
      </x:c>
      <x:c r="B11" s="28" t="str">
        <x:v>AGR-A2304</x:v>
      </x:c>
      <x:c r="C11" s="28" t="str">
        <x:v>88910620</x:v>
      </x:c>
      <x:c r="D11" s="28" t="str">
        <x:v>Naina Balan</x:v>
      </x:c>
      <x:c r="E11" s="32" t="n">
        <x:v>7064000</x:v>
      </x:c>
      <x:c r="F11" s="28" t="str">
        <x:v>Booking</x:v>
      </x:c>
      <x:c r="G11" s="34" t="n">
        <x:v>46176</x:v>
      </x:c>
      <x:c r="H11" s="32" t="n">
        <x:v>706000</x:v>
      </x:c>
      <x:c r="I11" s="34" t="n">
        <x:v>46206</x:v>
      </x:c>
      <x:c r="J11" s="32" t="n">
        <x:v>706000</x:v>
      </x:c>
      <x:c r="K11" s="32" t="n">
        <x:f>IF(OR(ISBLANK(H11),ISBLANK(J11)),"",H11-J11)</x:f>
        <x:v>0</x:v>
      </x:c>
      <x:c r="L11" s="36" t="n">
        <x:f>IF(OR(ISBLANK(I11),ISBLANK(K11)),"",MAX(0,$B$2-I11))</x:f>
        <x:v>28</x:v>
      </x:c>
      <x:c r="M11" s="28" t="str">
        <x:f>IF(ISBLANK(H11),"Missing Demand",IF(K11&lt;=0,"Paid",IF(ISBLANK(I11),"Due Date Missing",IF(I11&gt;$B$2,"Not Due",IF(J11&gt;0,"Part Paid","Overdue")))))</x:f>
        <x:v>Paid</x:v>
      </x:c>
      <x:c r="N11" s="28" t="str">
        <x:v>Rohan Iyer</x:v>
      </x:c>
      <x:c r="O11" s="28" t="str">
        <x:f>IF(OR(K11&gt;500000,L11&gt;30,ISBLANK(N11)),"Yes","No")</x:f>
        <x:v>No</x:v>
      </x:c>
      <x:c r="P11" s="28" t="str">
        <x:v>Customer funding pending</x:v>
      </x:c>
      <x:c r="Q11" s="28" t="str">
        <x:v>Mitali Verma</x:v>
      </x:c>
    </x:row>
    <x:row r="12">
      <x:c r="A12" s="28" t="str">
        <x:v>Aster Grove Residences</x:v>
      </x:c>
      <x:c r="B12" s="28" t="str">
        <x:v>AGR-A2304</x:v>
      </x:c>
      <x:c r="C12" s="28" t="str">
        <x:v>88910620</x:v>
      </x:c>
      <x:c r="D12" s="28" t="str">
        <x:v>Naina Balan</x:v>
      </x:c>
      <x:c r="E12" s="32" t="n">
        <x:v>7064000</x:v>
      </x:c>
      <x:c r="F12" s="28" t="str">
        <x:v>Agreement</x:v>
      </x:c>
      <x:c r="G12" s="34" t="n">
        <x:v>46204</x:v>
      </x:c>
      <x:c r="H12" s="32" t="n">
        <x:v>706000</x:v>
      </x:c>
      <x:c r="I12" s="34" t="n">
        <x:v>46225</x:v>
      </x:c>
      <x:c r="J12" s="32" t="n">
        <x:v>0</x:v>
      </x:c>
      <x:c r="K12" s="32" t="n">
        <x:f>IF(OR(ISBLANK(H12),ISBLANK(J12)),"",H12-J12)</x:f>
        <x:v>706000</x:v>
      </x:c>
      <x:c r="L12" s="36" t="n">
        <x:f>IF(OR(ISBLANK(I12),ISBLANK(K12)),"",MAX(0,$B$2-I12))</x:f>
        <x:v>9</x:v>
      </x:c>
      <x:c r="M12" s="28" t="str">
        <x:f>IF(ISBLANK(H12),"Missing Demand",IF(K12&lt;=0,"Paid",IF(ISBLANK(I12),"Due Date Missing",IF(I12&gt;$B$2,"Not Due",IF(J12&gt;0,"Part Paid","Overdue")))))</x:f>
        <x:v>Overdue</x:v>
      </x:c>
      <x:c r="N12" s="28" t="str">
        <x:v>Rohan Iyer</x:v>
      </x:c>
      <x:c r="O12" s="28" t="str">
        <x:f>IF(OR(K12&gt;500000,L12&gt;30,ISBLANK(N12)),"Yes","No")</x:f>
        <x:v>Yes</x:v>
      </x:c>
      <x:c r="P12" s="28" t="str">
        <x:v>Payment promised this week</x:v>
      </x:c>
      <x:c r="Q12" s="28" t="str">
        <x:v>Mitali Verma</x:v>
      </x:c>
    </x:row>
    <x:row r="13">
      <x:c r="A13" s="28" t="str">
        <x:v>Aster Grove Residences</x:v>
      </x:c>
      <x:c r="B13" s="28" t="str">
        <x:v>AGR-D1405</x:v>
      </x:c>
      <x:c r="C13" s="28" t="str">
        <x:v>88771088</x:v>
      </x:c>
      <x:c r="D13" s="28" t="str">
        <x:v>Rudra Talwar</x:v>
      </x:c>
      <x:c r="E13" s="32" t="n">
        <x:v>10868000</x:v>
      </x:c>
      <x:c r="F13" s="28" t="str">
        <x:v>Booking</x:v>
      </x:c>
      <x:c r="G13" s="34" t="n">
        <x:v>46144</x:v>
      </x:c>
      <x:c r="H13" s="32" t="n">
        <x:v>1087000</x:v>
      </x:c>
      <x:c r="I13" s="34" t="n">
        <x:v>46159</x:v>
      </x:c>
      <x:c r="J13" s="32" t="n">
        <x:v>272000</x:v>
      </x:c>
      <x:c r="K13" s="32" t="n">
        <x:f>IF(OR(ISBLANK(H13),ISBLANK(J13)),"",H13-J13)</x:f>
        <x:v>815000</x:v>
      </x:c>
      <x:c r="L13" s="36" t="n">
        <x:f>IF(OR(ISBLANK(I13),ISBLANK(K13)),"",MAX(0,$B$2-I13))</x:f>
        <x:v>75</x:v>
      </x:c>
      <x:c r="M13" s="28" t="str">
        <x:f>IF(ISBLANK(H13),"Missing Demand",IF(K13&lt;=0,"Paid",IF(ISBLANK(I13),"Due Date Missing",IF(I13&gt;$B$2,"Not Due",IF(J13&gt;0,"Part Paid","Overdue")))))</x:f>
        <x:v>Part Paid</x:v>
      </x:c>
      <x:c r="N13" s="28" t="str">
        <x:v>Tanvi Rao</x:v>
      </x:c>
      <x:c r="O13" s="28" t="str">
        <x:f>IF(OR(K13&gt;500000,L13&gt;30,ISBLANK(N13)),"Yes","No")</x:f>
        <x:v>Yes</x:v>
      </x:c>
      <x:c r="P13" s="28" t="str">
        <x:v>Bank disbursement delayed</x:v>
      </x:c>
      <x:c r="Q13" s="28" t="str">
        <x:v>Nupur Arora</x:v>
      </x:c>
    </x:row>
    <x:row r="14">
      <x:c r="A14" s="28" t="str">
        <x:v>Aster Grove Residences</x:v>
      </x:c>
      <x:c r="B14" s="28" t="str">
        <x:v>AGR-D1405</x:v>
      </x:c>
      <x:c r="C14" s="28" t="str">
        <x:v>88771088</x:v>
      </x:c>
      <x:c r="D14" s="28" t="str">
        <x:v>Rudra Talwar</x:v>
      </x:c>
      <x:c r="E14" s="32" t="n">
        <x:v>10868000</x:v>
      </x:c>
      <x:c r="F14" s="28" t="str">
        <x:v>Agreement</x:v>
      </x:c>
      <x:c r="G14" s="34" t="n">
        <x:v>46210</x:v>
      </x:c>
      <x:c r="H14" s="32" t="n">
        <x:v>1087000</x:v>
      </x:c>
      <x:c r="I14" s="34" t="n">
        <x:v>46225</x:v>
      </x:c>
      <x:c r="J14" s="32" t="n">
        <x:v>435000</x:v>
      </x:c>
      <x:c r="K14" s="32" t="n">
        <x:f>IF(OR(ISBLANK(H14),ISBLANK(J14)),"",H14-J14)</x:f>
        <x:v>652000</x:v>
      </x:c>
      <x:c r="L14" s="36" t="n">
        <x:f>IF(OR(ISBLANK(I14),ISBLANK(K14)),"",MAX(0,$B$2-I14))</x:f>
        <x:v>9</x:v>
      </x:c>
      <x:c r="M14" s="28" t="str">
        <x:f>IF(ISBLANK(H14),"Missing Demand",IF(K14&lt;=0,"Paid",IF(ISBLANK(I14),"Due Date Missing",IF(I14&gt;$B$2,"Not Due",IF(J14&gt;0,"Part Paid","Overdue")))))</x:f>
        <x:v>Part Paid</x:v>
      </x:c>
      <x:c r="N14" s="28" t="str">
        <x:v>Meera Nair</x:v>
      </x:c>
      <x:c r="O14" s="28" t="str">
        <x:f>IF(OR(K14&gt;500000,L14&gt;30,ISBLANK(N14)),"Yes","No")</x:f>
        <x:v>Yes</x:v>
      </x:c>
      <x:c r="P14" s="28" t="str">
        <x:v>Milestone clarity required</x:v>
      </x:c>
      <x:c r="Q14" s="28" t="str">
        <x:v>Nupur Arora</x:v>
      </x:c>
    </x:row>
    <x:row r="15">
      <x:c r="A15" s="28" t="str">
        <x:v>Aster Grove Residences</x:v>
      </x:c>
      <x:c r="B15" s="28" t="str">
        <x:v>AGR-C1901</x:v>
      </x:c>
      <x:c r="C15" s="28" t="str">
        <x:v>88813328</x:v>
      </x:c>
      <x:c r="D15" s="28" t="str">
        <x:v>Sara Chopra</x:v>
      </x:c>
      <x:c r="E15" s="32" t="n">
        <x:v>16813000</x:v>
      </x:c>
      <x:c r="F15" s="28" t="str">
        <x:v>Booking</x:v>
      </x:c>
      <x:c r="G15" s="34" t="n">
        <x:v>46126</x:v>
      </x:c>
      <x:c r="H15" s="32" t="n">
        <x:v>1681000</x:v>
      </x:c>
      <x:c r="I15" s="34" t="n">
        <x:v>46141</x:v>
      </x:c>
      <x:c r="J15" s="32" t="n">
        <x:v>1681000</x:v>
      </x:c>
      <x:c r="K15" s="32" t="n">
        <x:f>IF(OR(ISBLANK(H15),ISBLANK(J15)),"",H15-J15)</x:f>
        <x:v>0</x:v>
      </x:c>
      <x:c r="L15" s="36" t="n">
        <x:f>IF(OR(ISBLANK(I15),ISBLANK(K15)),"",MAX(0,$B$2-I15))</x:f>
        <x:v>93</x:v>
      </x:c>
      <x:c r="M15" s="28" t="str">
        <x:f>IF(ISBLANK(H15),"Missing Demand",IF(K15&lt;=0,"Paid",IF(ISBLANK(I15),"Due Date Missing",IF(I15&gt;$B$2,"Not Due",IF(J15&gt;0,"Part Paid","Overdue")))))</x:f>
        <x:v>Paid</x:v>
      </x:c>
      <x:c r="N15" s="28" t="str">
        <x:v>Rohan Iyer</x:v>
      </x:c>
      <x:c r="O15" s="28" t="str">
        <x:f>IF(OR(K15&gt;500000,L15&gt;30,ISBLANK(N15)),"Yes","No")</x:f>
        <x:v>Yes</x:v>
      </x:c>
      <x:c r="P15" s="28" t="str">
        <x:v>No concern raised</x:v>
      </x:c>
      <x:c r="Q15" s="28" t="str">
        <x:v>Pranay Sood</x:v>
      </x:c>
    </x:row>
    <x:row r="16">
      <x:c r="A16" s="28" t="str">
        <x:v>Aster Grove Residences</x:v>
      </x:c>
      <x:c r="B16" s="28" t="str">
        <x:v>AGR-C1901</x:v>
      </x:c>
      <x:c r="C16" s="28" t="str">
        <x:v>88813328</x:v>
      </x:c>
      <x:c r="D16" s="28" t="str">
        <x:v>Sara Chopra</x:v>
      </x:c>
      <x:c r="E16" s="32" t="n">
        <x:v>16813000</x:v>
      </x:c>
      <x:c r="F16" s="28" t="str">
        <x:v>Agreement</x:v>
      </x:c>
      <x:c r="G16" s="34" t="n">
        <x:v>46172</x:v>
      </x:c>
      <x:c r="H16" s="32" t="n">
        <x:v>1681000</x:v>
      </x:c>
      <x:c r="I16" s="34" t="n">
        <x:v>46187</x:v>
      </x:c>
      <x:c r="J16" s="32" t="n">
        <x:v>1681000</x:v>
      </x:c>
      <x:c r="K16" s="32" t="n">
        <x:f>IF(OR(ISBLANK(H16),ISBLANK(J16)),"",H16-J16)</x:f>
        <x:v>0</x:v>
      </x:c>
      <x:c r="L16" s="36" t="n">
        <x:f>IF(OR(ISBLANK(I16),ISBLANK(K16)),"",MAX(0,$B$2-I16))</x:f>
        <x:v>47</x:v>
      </x:c>
      <x:c r="M16" s="28" t="str">
        <x:f>IF(ISBLANK(H16),"Missing Demand",IF(K16&lt;=0,"Paid",IF(ISBLANK(I16),"Due Date Missing",IF(I16&gt;$B$2,"Not Due",IF(J16&gt;0,"Part Paid","Overdue")))))</x:f>
        <x:v>Paid</x:v>
      </x:c>
      <x:c r="N16" s="28" t="str">
        <x:v>Kunal Shah</x:v>
      </x:c>
      <x:c r="O16" s="28" t="str">
        <x:f>IF(OR(K16&gt;500000,L16&gt;30,ISBLANK(N16)),"Yes","No")</x:f>
        <x:v>Yes</x:v>
      </x:c>
      <x:c r="P16" s="28" t="str">
        <x:v>No concern raised</x:v>
      </x:c>
      <x:c r="Q16" s="28" t="str">
        <x:v>Pranay Sood</x:v>
      </x:c>
    </x:row>
    <x:row r="17">
      <x:c r="A17" s="28" t="str">
        <x:v>Aster Grove Residences</x:v>
      </x:c>
      <x:c r="B17" s="28" t="str">
        <x:v>AGR-C1901</x:v>
      </x:c>
      <x:c r="C17" s="28" t="str">
        <x:v>88813328</x:v>
      </x:c>
      <x:c r="D17" s="28" t="str">
        <x:v>Ira Rastogi Kumar</x:v>
      </x:c>
      <x:c r="E17" s="32" t="n">
        <x:v>16813000</x:v>
      </x:c>
      <x:c r="F17" s="28" t="str">
        <x:v>Brickwork Completion</x:v>
      </x:c>
      <x:c r="G17" s="34" t="n">
        <x:v>46196</x:v>
      </x:c>
      <x:c r="H17" s="32" t="n">
        <x:v>2522000</x:v>
      </x:c>
      <x:c r="I17" s="34" t="n">
        <x:v>46217</x:v>
      </x:c>
      <x:c r="J17" s="32" t="n">
        <x:v>2522000</x:v>
      </x:c>
      <x:c r="K17" s="32" t="n">
        <x:f>IF(OR(ISBLANK(H17),ISBLANK(J17)),"",H17-J17)</x:f>
        <x:v>0</x:v>
      </x:c>
      <x:c r="L17" s="36" t="n">
        <x:f>IF(OR(ISBLANK(I17),ISBLANK(K17)),"",MAX(0,$B$2-I17))</x:f>
        <x:v>17</x:v>
      </x:c>
      <x:c r="M17" s="28" t="str">
        <x:f>IF(ISBLANK(H17),"Missing Demand",IF(K17&lt;=0,"Paid",IF(ISBLANK(I17),"Due Date Missing",IF(I17&gt;$B$2,"Not Due",IF(J17&gt;0,"Part Paid","Overdue")))))</x:f>
        <x:v>Paid</x:v>
      </x:c>
      <x:c r="N17" s="28" t="str">
        <x:v>Tanvi Rao</x:v>
      </x:c>
      <x:c r="O17" s="28" t="str">
        <x:f>IF(OR(K17&gt;500000,L17&gt;30,ISBLANK(N17)),"Yes","No")</x:f>
        <x:v>No</x:v>
      </x:c>
      <x:c r="P17" s="28" t="str">
        <x:v>Milestone clarity required</x:v>
      </x:c>
      <x:c r="Q17" s="28" t="str">
        <x:v>Pranay Sood</x:v>
      </x:c>
    </x:row>
    <x:row r="18">
      <x:c r="A18" s="28" t="str">
        <x:v>Aster Grove Residences</x:v>
      </x:c>
      <x:c r="B18" s="28" t="str">
        <x:v>AGR-B1901</x:v>
      </x:c>
      <x:c r="C18" s="28" t="str">
        <x:v>88728038</x:v>
      </x:c>
      <x:c r="D18" s="28" t="str">
        <x:v>Aarush Mathur</x:v>
      </x:c>
      <x:c r="E18" s="32" t="n">
        <x:v>15364000</x:v>
      </x:c>
      <x:c r="F18" s="28" t="str">
        <x:v>Booking</x:v>
      </x:c>
      <x:c r="G18" s="34" t="n">
        <x:v>46171</x:v>
      </x:c>
      <x:c r="H18" s="32" t="n">
        <x:v>1536000</x:v>
      </x:c>
      <x:c r="I18" s="34" t="n">
        <x:v>46201</x:v>
      </x:c>
      <x:c r="J18" s="32" t="n">
        <x:v>1152000</x:v>
      </x:c>
      <x:c r="K18" s="32" t="n">
        <x:f>IF(OR(ISBLANK(H18),ISBLANK(J18)),"",H18-J18)</x:f>
        <x:v>384000</x:v>
      </x:c>
      <x:c r="L18" s="36" t="n">
        <x:f>IF(OR(ISBLANK(I18),ISBLANK(K18)),"",MAX(0,$B$2-I18))</x:f>
        <x:v>33</x:v>
      </x:c>
      <x:c r="M18" s="28" t="str">
        <x:f>IF(ISBLANK(H18),"Missing Demand",IF(K18&lt;=0,"Paid",IF(ISBLANK(I18),"Due Date Missing",IF(I18&gt;$B$2,"Not Due",IF(J18&gt;0,"Part Paid","Overdue")))))</x:f>
        <x:v>Part Paid</x:v>
      </x:c>
      <x:c r="N18" s="28" t="str">
        <x:v>Priya Menon</x:v>
      </x:c>
      <x:c r="O18" s="28" t="str">
        <x:f>IF(OR(K18&gt;500000,L18&gt;30,ISBLANK(N18)),"Yes","No")</x:f>
        <x:v>Yes</x:v>
      </x:c>
      <x:c r="P18" s="28" t="str">
        <x:v>No concern raised</x:v>
      </x:c>
      <x:c r="Q18" s="28"/>
    </x:row>
    <x:row r="19">
      <x:c r="A19" s="28" t="str">
        <x:v>Aster Grove Residences</x:v>
      </x:c>
      <x:c r="B19" s="28" t="str">
        <x:v>AGR-B1901</x:v>
      </x:c>
      <x:c r="C19" s="28" t="str">
        <x:v>88728038</x:v>
      </x:c>
      <x:c r="D19" s="28" t="str">
        <x:v>Aarush Mathur</x:v>
      </x:c>
      <x:c r="E19" s="32" t="n">
        <x:v>15364000</x:v>
      </x:c>
      <x:c r="F19" s="28" t="str">
        <x:v>Agreement</x:v>
      </x:c>
      <x:c r="G19" s="34" t="n">
        <x:v>46145</x:v>
      </x:c>
      <x:c r="H19" s="32" t="n">
        <x:v>1536000</x:v>
      </x:c>
      <x:c r="I19" s="34" t="n">
        <x:v>46175</x:v>
      </x:c>
      <x:c r="J19" s="32" t="n">
        <x:v>384000</x:v>
      </x:c>
      <x:c r="K19" s="32" t="n">
        <x:f>IF(OR(ISBLANK(H19),ISBLANK(J19)),"",H19-J19)</x:f>
        <x:v>1152000</x:v>
      </x:c>
      <x:c r="L19" s="36" t="n">
        <x:f>IF(OR(ISBLANK(I19),ISBLANK(K19)),"",MAX(0,$B$2-I19))</x:f>
        <x:v>59</x:v>
      </x:c>
      <x:c r="M19" s="28" t="str">
        <x:f>IF(ISBLANK(H19),"Missing Demand",IF(K19&lt;=0,"Paid",IF(ISBLANK(I19),"Due Date Missing",IF(I19&gt;$B$2,"Not Due",IF(J19&gt;0,"Part Paid","Overdue")))))</x:f>
        <x:v>Part Paid</x:v>
      </x:c>
      <x:c r="N19" s="28" t="str">
        <x:v>Rohan Iyer</x:v>
      </x:c>
      <x:c r="O19" s="28" t="str">
        <x:f>IF(OR(K19&gt;500000,L19&gt;30,ISBLANK(N19)),"Yes","No")</x:f>
        <x:v>Yes</x:v>
      </x:c>
      <x:c r="P19" s="28" t="str">
        <x:v>Customer travel / unreachable</x:v>
      </x:c>
      <x:c r="Q19" s="28"/>
    </x:row>
    <x:row r="20">
      <x:c r="A20" s="28" t="str">
        <x:v>Aster Grove Residences</x:v>
      </x:c>
      <x:c r="B20" s="28" t="str">
        <x:v>AGR-B1901</x:v>
      </x:c>
      <x:c r="C20" s="28" t="str">
        <x:v>88728038</x:v>
      </x:c>
      <x:c r="D20" s="28" t="str">
        <x:v>Aarush Mathur</x:v>
      </x:c>
      <x:c r="E20" s="32" t="n">
        <x:v>15364000</x:v>
      </x:c>
      <x:c r="F20" s="28" t="str">
        <x:v>Excavation</x:v>
      </x:c>
      <x:c r="G20" s="34" t="n">
        <x:v>46218</x:v>
      </x:c>
      <x:c r="H20" s="32" t="n">
        <x:v>1536000</x:v>
      </x:c>
      <x:c r="I20" s="34" t="n">
        <x:v>46248</x:v>
      </x:c>
      <x:c r="J20" s="32" t="n">
        <x:v>0</x:v>
      </x:c>
      <x:c r="K20" s="32" t="n">
        <x:f>IF(OR(ISBLANK(H20),ISBLANK(J20)),"",H20-J20)</x:f>
        <x:v>1536000</x:v>
      </x:c>
      <x:c r="L20" s="36" t="n">
        <x:f>IF(OR(ISBLANK(I20),ISBLANK(K20)),"",MAX(0,$B$2-I20))</x:f>
        <x:v>0</x:v>
      </x:c>
      <x:c r="M20" s="28" t="str">
        <x:f>IF(ISBLANK(H20),"Missing Demand",IF(K20&lt;=0,"Paid",IF(ISBLANK(I20),"Due Date Missing",IF(I20&gt;$B$2,"Not Due",IF(J20&gt;0,"Part Paid","Overdue")))))</x:f>
        <x:v>Not Due</x:v>
      </x:c>
      <x:c r="N20" s="28" t="str">
        <x:v>Priya Menon</x:v>
      </x:c>
      <x:c r="O20" s="28" t="str">
        <x:f>IF(OR(K20&gt;500000,L20&gt;30,ISBLANK(N20)),"Yes","No")</x:f>
        <x:v>Yes</x:v>
      </x:c>
      <x:c r="P20" s="28" t="str">
        <x:v>Payment promised this week</x:v>
      </x:c>
      <x:c r="Q20" s="28"/>
    </x:row>
    <x:row r="21">
      <x:c r="A21" s="28" t="str">
        <x:v>Aster Grove Residences</x:v>
      </x:c>
      <x:c r="B21" s="28" t="str">
        <x:v>AGR-C1807</x:v>
      </x:c>
      <x:c r="C21" s="28" t="str">
        <x:v>88322086</x:v>
      </x:c>
      <x:c r="D21" s="28" t="str">
        <x:v>Eva Talwar</x:v>
      </x:c>
      <x:c r="E21" s="32" t="n">
        <x:v>12756000</x:v>
      </x:c>
      <x:c r="F21" s="28" t="str">
        <x:v>Booking</x:v>
      </x:c>
      <x:c r="G21" s="34" t="n">
        <x:v>46140</x:v>
      </x:c>
      <x:c r="H21" s="32" t="n">
        <x:v>1276000</x:v>
      </x:c>
      <x:c r="I21" s="34" t="n">
        <x:v>46170</x:v>
      </x:c>
      <x:c r="J21" s="32" t="n">
        <x:v>319000</x:v>
      </x:c>
      <x:c r="K21" s="32" t="n">
        <x:f>IF(OR(ISBLANK(H21),ISBLANK(J21)),"",H21-J21)</x:f>
        <x:v>957000</x:v>
      </x:c>
      <x:c r="L21" s="36" t="n">
        <x:f>IF(OR(ISBLANK(I21),ISBLANK(K21)),"",MAX(0,$B$2-I21))</x:f>
        <x:v>64</x:v>
      </x:c>
      <x:c r="M21" s="28" t="str">
        <x:f>IF(ISBLANK(H21),"Missing Demand",IF(K21&lt;=0,"Paid",IF(ISBLANK(I21),"Due Date Missing",IF(I21&gt;$B$2,"Not Due",IF(J21&gt;0,"Part Paid","Overdue")))))</x:f>
        <x:v>Part Paid</x:v>
      </x:c>
      <x:c r="N21" s="28" t="str">
        <x:v>Kunal Shah</x:v>
      </x:c>
      <x:c r="O21" s="28" t="str">
        <x:f>IF(OR(K21&gt;500000,L21&gt;30,ISBLANK(N21)),"Yes","No")</x:f>
        <x:v>Yes</x:v>
      </x:c>
      <x:c r="P21" s="28" t="str">
        <x:v>Demand not acknowledged</x:v>
      </x:c>
      <x:c r="Q21" s="28" t="str">
        <x:v>Sahil Bhatia</x:v>
      </x:c>
    </x:row>
    <x:row r="22">
      <x:c r="A22" s="28" t="str">
        <x:v>Aster Grove Residences</x:v>
      </x:c>
      <x:c r="B22" s="28" t="str">
        <x:v>AGR-C1807</x:v>
      </x:c>
      <x:c r="C22" s="28" t="str">
        <x:v>88322086</x:v>
      </x:c>
      <x:c r="D22" s="28" t="str">
        <x:v>Eva Talwar</x:v>
      </x:c>
      <x:c r="E22" s="32" t="n">
        <x:v>12756000</x:v>
      </x:c>
      <x:c r="F22" s="28" t="str">
        <x:v>Agreement</x:v>
      </x:c>
      <x:c r="G22" s="34" t="n">
        <x:v>46231</x:v>
      </x:c>
      <x:c r="H22" s="32" t="n">
        <x:v>1276000</x:v>
      </x:c>
      <x:c r="I22" s="34" t="n">
        <x:v>46252</x:v>
      </x:c>
      <x:c r="J22" s="32" t="n">
        <x:v>128000</x:v>
      </x:c>
      <x:c r="K22" s="32" t="n">
        <x:f>IF(OR(ISBLANK(H22),ISBLANK(J22)),"",H22-J22)</x:f>
        <x:v>1148000</x:v>
      </x:c>
      <x:c r="L22" s="36" t="n">
        <x:f>IF(OR(ISBLANK(I22),ISBLANK(K22)),"",MAX(0,$B$2-I22))</x:f>
        <x:v>0</x:v>
      </x:c>
      <x:c r="M22" s="28" t="str">
        <x:f>IF(ISBLANK(H22),"Missing Demand",IF(K22&lt;=0,"Paid",IF(ISBLANK(I22),"Due Date Missing",IF(I22&gt;$B$2,"Not Due",IF(J22&gt;0,"Part Paid","Overdue")))))</x:f>
        <x:v>Not Due</x:v>
      </x:c>
      <x:c r="N22" s="28" t="str">
        <x:v>Meera Nair</x:v>
      </x:c>
      <x:c r="O22" s="28" t="str">
        <x:f>IF(OR(K22&gt;500000,L22&gt;30,ISBLANK(N22)),"Yes","No")</x:f>
        <x:v>Yes</x:v>
      </x:c>
      <x:c r="P22" s="28" t="str">
        <x:v>Milestone clarity required</x:v>
      </x:c>
      <x:c r="Q22" s="28" t="str">
        <x:v>Sahil Bhatia</x:v>
      </x:c>
    </x:row>
    <x:row r="23">
      <x:c r="A23" s="28" t="str">
        <x:v>Aster Grove Residences</x:v>
      </x:c>
      <x:c r="B23" s="28" t="str">
        <x:v>AGR-A0902</x:v>
      </x:c>
      <x:c r="C23" s="28" t="str">
        <x:v>88132938</x:v>
      </x:c>
      <x:c r="D23" s="28" t="str">
        <x:v>Avni Bajaj</x:v>
      </x:c>
      <x:c r="E23" s="32" t="n">
        <x:v>7065000</x:v>
      </x:c>
      <x:c r="F23" s="28" t="str">
        <x:v>Booking</x:v>
      </x:c>
      <x:c r="G23" s="34" t="n">
        <x:v>46136</x:v>
      </x:c>
      <x:c r="H23" s="32" t="n">
        <x:v>706000</x:v>
      </x:c>
      <x:c r="I23" s="34" t="n">
        <x:v>46166</x:v>
      </x:c>
      <x:c r="J23" s="32" t="n">
        <x:v>176000</x:v>
      </x:c>
      <x:c r="K23" s="32" t="n">
        <x:f>IF(OR(ISBLANK(H23),ISBLANK(J23)),"",H23-J23)</x:f>
        <x:v>530000</x:v>
      </x:c>
      <x:c r="L23" s="36" t="n">
        <x:f>IF(OR(ISBLANK(I23),ISBLANK(K23)),"",MAX(0,$B$2-I23))</x:f>
        <x:v>68</x:v>
      </x:c>
      <x:c r="M23" s="28" t="str">
        <x:f>IF(ISBLANK(H23),"Missing Demand",IF(K23&lt;=0,"Paid",IF(ISBLANK(I23),"Due Date Missing",IF(I23&gt;$B$2,"Not Due",IF(J23&gt;0,"Part Paid","Overdue")))))</x:f>
        <x:v>Part Paid</x:v>
      </x:c>
      <x:c r="N23" s="28" t="str">
        <x:v>Ankit Suri</x:v>
      </x:c>
      <x:c r="O23" s="28" t="str">
        <x:f>IF(OR(K23&gt;500000,L23&gt;30,ISBLANK(N23)),"Yes","No")</x:f>
        <x:v>Yes</x:v>
      </x:c>
      <x:c r="P23" s="28" t="str">
        <x:v>Documentation pending</x:v>
      </x:c>
      <x:c r="Q23" s="28" t="str">
        <x:v>Mitali Verma</x:v>
      </x:c>
    </x:row>
    <x:row r="24">
      <x:c r="A24" s="28" t="str">
        <x:v>Aster Grove Residences</x:v>
      </x:c>
      <x:c r="B24" s="28" t="str">
        <x:v>AGR-A0902</x:v>
      </x:c>
      <x:c r="C24" s="28" t="str">
        <x:v>88132938</x:v>
      </x:c>
      <x:c r="D24" s="28" t="str">
        <x:v>Avni Bajaj</x:v>
      </x:c>
      <x:c r="E24" s="32" t="n">
        <x:v>7065000</x:v>
      </x:c>
      <x:c r="F24" s="28" t="str">
        <x:v>Agreement</x:v>
      </x:c>
      <x:c r="G24" s="34" t="n">
        <x:v>46143</x:v>
      </x:c>
      <x:c r="H24" s="32" t="n">
        <x:v>706000</x:v>
      </x:c>
      <x:c r="I24" s="34" t="n">
        <x:v>46158</x:v>
      </x:c>
      <x:c r="J24" s="32" t="n">
        <x:v>530000</x:v>
      </x:c>
      <x:c r="K24" s="32" t="n">
        <x:f>IF(OR(ISBLANK(H24),ISBLANK(J24)),"",H24-J24)</x:f>
        <x:v>176000</x:v>
      </x:c>
      <x:c r="L24" s="36" t="n">
        <x:f>IF(OR(ISBLANK(I24),ISBLANK(K24)),"",MAX(0,$B$2-I24))</x:f>
        <x:v>76</x:v>
      </x:c>
      <x:c r="M24" s="28" t="str">
        <x:f>IF(ISBLANK(H24),"Missing Demand",IF(K24&lt;=0,"Paid",IF(ISBLANK(I24),"Due Date Missing",IF(I24&gt;$B$2,"Not Due",IF(J24&gt;0,"Part Paid","Overdue")))))</x:f>
        <x:v>Part Paid</x:v>
      </x:c>
      <x:c r="N24" s="28" t="str">
        <x:v>Rohan Iyer</x:v>
      </x:c>
      <x:c r="O24" s="28" t="str">
        <x:f>IF(OR(K24&gt;500000,L24&gt;30,ISBLANK(N24)),"Yes","No")</x:f>
        <x:v>Yes</x:v>
      </x:c>
      <x:c r="P24" s="28" t="str">
        <x:v>No concern raised</x:v>
      </x:c>
      <x:c r="Q24" s="28" t="str">
        <x:v>Mitali Verma</x:v>
      </x:c>
    </x:row>
    <x:row r="25">
      <x:c r="A25" s="28" t="str">
        <x:v>Aster Grove Residences</x:v>
      </x:c>
      <x:c r="B25" s="28" t="str">
        <x:v>AGR-A0902</x:v>
      </x:c>
      <x:c r="C25" s="28" t="str">
        <x:v>88132938</x:v>
      </x:c>
      <x:c r="D25" s="28" t="str">
        <x:v>Avni Bajaj</x:v>
      </x:c>
      <x:c r="E25" s="32" t="n">
        <x:v>7065000</x:v>
      </x:c>
      <x:c r="F25" s="28"/>
      <x:c r="G25" s="34" t="n">
        <x:v>46191</x:v>
      </x:c>
      <x:c r="H25" s="32" t="n">
        <x:v>1060000</x:v>
      </x:c>
      <x:c r="I25" s="34" t="n">
        <x:v>46206</x:v>
      </x:c>
      <x:c r="J25" s="32" t="n">
        <x:v>106000</x:v>
      </x:c>
      <x:c r="K25" s="32" t="n">
        <x:f>IF(OR(ISBLANK(H25),ISBLANK(J25)),"",H25-J25)</x:f>
        <x:v>954000</x:v>
      </x:c>
      <x:c r="L25" s="36" t="n">
        <x:f>IF(OR(ISBLANK(I25),ISBLANK(K25)),"",MAX(0,$B$2-I25))</x:f>
        <x:v>28</x:v>
      </x:c>
      <x:c r="M25" s="28" t="str">
        <x:f>IF(ISBLANK(H25),"Missing Demand",IF(K25&lt;=0,"Paid",IF(ISBLANK(I25),"Due Date Missing",IF(I25&gt;$B$2,"Not Due",IF(J25&gt;0,"Part Paid","Overdue")))))</x:f>
        <x:v>Part Paid</x:v>
      </x:c>
      <x:c r="N25" s="28" t="str">
        <x:v>Meera Nair</x:v>
      </x:c>
      <x:c r="O25" s="28" t="str">
        <x:f>IF(OR(K25&gt;500000,L25&gt;30,ISBLANK(N25)),"Yes","No")</x:f>
        <x:v>Yes</x:v>
      </x:c>
      <x:c r="P25" s="28" t="str">
        <x:v>Customer funding pending</x:v>
      </x:c>
      <x:c r="Q25" s="28" t="str">
        <x:v>Mitali Verma</x:v>
      </x:c>
    </x:row>
    <x:row r="26">
      <x:c r="A26" s="28" t="str">
        <x:v>Aster Grove Residences</x:v>
      </x:c>
      <x:c r="B26" s="28" t="str">
        <x:v>AGR-D1508</x:v>
      </x:c>
      <x:c r="C26" s="28" t="str">
        <x:v>88864491</x:v>
      </x:c>
      <x:c r="D26" s="28" t="str">
        <x:v>Meera Menon</x:v>
      </x:c>
      <x:c r="E26" s="32" t="n">
        <x:v>14907000</x:v>
      </x:c>
      <x:c r="F26" s="28" t="str">
        <x:v>Booking</x:v>
      </x:c>
      <x:c r="G26" s="34" t="n">
        <x:v>46103</x:v>
      </x:c>
      <x:c r="H26" s="32" t="n">
        <x:v>1491000</x:v>
      </x:c>
      <x:c r="I26" s="34" t="n">
        <x:v>46118</x:v>
      </x:c>
      <x:c r="J26" s="32" t="n">
        <x:v>373000</x:v>
      </x:c>
      <x:c r="K26" s="32" t="n">
        <x:f>IF(OR(ISBLANK(H26),ISBLANK(J26)),"",H26-J26)</x:f>
        <x:v>1118000</x:v>
      </x:c>
      <x:c r="L26" s="36" t="n">
        <x:f>IF(OR(ISBLANK(I26),ISBLANK(K26)),"",MAX(0,$B$2-I26))</x:f>
        <x:v>116</x:v>
      </x:c>
      <x:c r="M26" s="28" t="str">
        <x:f>IF(ISBLANK(H26),"Missing Demand",IF(K26&lt;=0,"Paid",IF(ISBLANK(I26),"Due Date Missing",IF(I26&gt;$B$2,"Not Due",IF(J26&gt;0,"Part Paid","Overdue")))))</x:f>
        <x:v>Part Paid</x:v>
      </x:c>
      <x:c r="N26" s="28" t="str">
        <x:v>Meera Nair</x:v>
      </x:c>
      <x:c r="O26" s="28" t="str">
        <x:f>IF(OR(K26&gt;500000,L26&gt;30,ISBLANK(N26)),"Yes","No")</x:f>
        <x:v>Yes</x:v>
      </x:c>
      <x:c r="P26" s="28" t="str">
        <x:v>Customer travel / unreachable</x:v>
      </x:c>
      <x:c r="Q26" s="28" t="str">
        <x:v>Mitali Verma</x:v>
      </x:c>
    </x:row>
    <x:row r="27">
      <x:c r="A27" s="28" t="str">
        <x:v>Aster Grove Residences</x:v>
      </x:c>
      <x:c r="B27" s="28" t="str">
        <x:v>AGR-D1508</x:v>
      </x:c>
      <x:c r="C27" s="28" t="str">
        <x:v>88864491</x:v>
      </x:c>
      <x:c r="D27" s="28" t="str">
        <x:v>Meera Menon</x:v>
      </x:c>
      <x:c r="E27" s="32" t="n">
        <x:v>14907000</x:v>
      </x:c>
      <x:c r="F27" s="28" t="str">
        <x:v>Agreement</x:v>
      </x:c>
      <x:c r="G27" s="34" t="n">
        <x:v>46212</x:v>
      </x:c>
      <x:c r="H27" s="32" t="n">
        <x:v>1491000</x:v>
      </x:c>
      <x:c r="I27" s="34" t="n">
        <x:v>46242</x:v>
      </x:c>
      <x:c r="J27" s="32" t="n">
        <x:v>298000</x:v>
      </x:c>
      <x:c r="K27" s="32" t="n">
        <x:f>IF(OR(ISBLANK(H27),ISBLANK(J27)),"",H27-J27)</x:f>
        <x:v>1193000</x:v>
      </x:c>
      <x:c r="L27" s="36" t="n">
        <x:f>IF(OR(ISBLANK(I27),ISBLANK(K27)),"",MAX(0,$B$2-I27))</x:f>
        <x:v>0</x:v>
      </x:c>
      <x:c r="M27" s="28" t="str">
        <x:f>IF(ISBLANK(H27),"Missing Demand",IF(K27&lt;=0,"Paid",IF(ISBLANK(I27),"Due Date Missing",IF(I27&gt;$B$2,"Not Due",IF(J27&gt;0,"Part Paid","Overdue")))))</x:f>
        <x:v>Not Due</x:v>
      </x:c>
      <x:c r="N27" s="28" t="str">
        <x:v>Kunal Shah</x:v>
      </x:c>
      <x:c r="O27" s="28" t="str">
        <x:f>IF(OR(K27&gt;500000,L27&gt;30,ISBLANK(N27)),"Yes","No")</x:f>
        <x:v>Yes</x:v>
      </x:c>
      <x:c r="P27" s="28" t="str">
        <x:v>Payment promised this week</x:v>
      </x:c>
      <x:c r="Q27" s="28" t="str">
        <x:v>Mitali Verma</x:v>
      </x:c>
    </x:row>
    <x:row r="28">
      <x:c r="A28" s="28" t="str">
        <x:v>Aster Grove Residences</x:v>
      </x:c>
      <x:c r="B28" s="28" t="str">
        <x:v>AGR-D1508</x:v>
      </x:c>
      <x:c r="C28" s="28" t="str">
        <x:v>88864491</x:v>
      </x:c>
      <x:c r="D28" s="28" t="str">
        <x:v>Meera Menon</x:v>
      </x:c>
      <x:c r="E28" s="32" t="n">
        <x:v>14907000</x:v>
      </x:c>
      <x:c r="F28" s="28" t="str">
        <x:v>Brickwork Completion</x:v>
      </x:c>
      <x:c r="G28" s="34" t="n">
        <x:v>46214</x:v>
      </x:c>
      <x:c r="H28" s="32" t="n">
        <x:v>2236000</x:v>
      </x:c>
      <x:c r="I28" s="34" t="n">
        <x:v>46244</x:v>
      </x:c>
      <x:c r="J28" s="32" t="n">
        <x:v>894000</x:v>
      </x:c>
      <x:c r="K28" s="32" t="n">
        <x:f>IF(OR(ISBLANK(H28),ISBLANK(J28)),"",H28-J28)</x:f>
        <x:v>1342000</x:v>
      </x:c>
      <x:c r="L28" s="36" t="n">
        <x:f>IF(OR(ISBLANK(I28),ISBLANK(K28)),"",MAX(0,$B$2-I28))</x:f>
        <x:v>0</x:v>
      </x:c>
      <x:c r="M28" s="28" t="str">
        <x:f>IF(ISBLANK(H28),"Missing Demand",IF(K28&lt;=0,"Paid",IF(ISBLANK(I28),"Due Date Missing",IF(I28&gt;$B$2,"Not Due",IF(J28&gt;0,"Part Paid","Overdue")))))</x:f>
        <x:v>Not Due</x:v>
      </x:c>
      <x:c r="N28" s="28" t="str">
        <x:v>Tanvi Rao</x:v>
      </x:c>
      <x:c r="O28" s="28" t="str">
        <x:f>IF(OR(K28&gt;500000,L28&gt;30,ISBLANK(N28)),"Yes","No")</x:f>
        <x:v>Yes</x:v>
      </x:c>
      <x:c r="P28" s="28" t="str">
        <x:v>Demand not acknowledged</x:v>
      </x:c>
      <x:c r="Q28" s="28" t="str">
        <x:v>Mitali Verma</x:v>
      </x:c>
    </x:row>
    <x:row r="29">
      <x:c r="A29" s="28" t="str">
        <x:v>Aster Grove Residences</x:v>
      </x:c>
      <x:c r="B29" s="28" t="str">
        <x:v>AGR-A2201</x:v>
      </x:c>
      <x:c r="C29" s="28" t="str">
        <x:v>88197793</x:v>
      </x:c>
      <x:c r="D29" s="28" t="str">
        <x:v>Eva Desai</x:v>
      </x:c>
      <x:c r="E29" s="32" t="n">
        <x:v>7393000</x:v>
      </x:c>
      <x:c r="F29" s="28" t="str">
        <x:v>Booking</x:v>
      </x:c>
      <x:c r="G29" s="34" t="n">
        <x:v>46209</x:v>
      </x:c>
      <x:c r="H29" s="32" t="n">
        <x:v>739000</x:v>
      </x:c>
      <x:c r="I29" s="34" t="n">
        <x:v>46224</x:v>
      </x:c>
      <x:c r="J29" s="32" t="n">
        <x:v>739000</x:v>
      </x:c>
      <x:c r="K29" s="32" t="n">
        <x:f>IF(OR(ISBLANK(H29),ISBLANK(J29)),"",H29-J29)</x:f>
        <x:v>0</x:v>
      </x:c>
      <x:c r="L29" s="36" t="n">
        <x:f>IF(OR(ISBLANK(I29),ISBLANK(K29)),"",MAX(0,$B$2-I29))</x:f>
        <x:v>10</x:v>
      </x:c>
      <x:c r="M29" s="28" t="str">
        <x:f>IF(ISBLANK(H29),"Missing Demand",IF(K29&lt;=0,"Paid",IF(ISBLANK(I29),"Due Date Missing",IF(I29&gt;$B$2,"Not Due",IF(J29&gt;0,"Part Paid","Overdue")))))</x:f>
        <x:v>Paid</x:v>
      </x:c>
      <x:c r="N29" s="28" t="str">
        <x:v>Rohan Iyer</x:v>
      </x:c>
      <x:c r="O29" s="28" t="str">
        <x:f>IF(OR(K29&gt;500000,L29&gt;30,ISBLANK(N29)),"Yes","No")</x:f>
        <x:v>No</x:v>
      </x:c>
      <x:c r="P29" s="28" t="str">
        <x:v>No concern raised</x:v>
      </x:c>
      <x:c r="Q29" s="28" t="str">
        <x:v>Pranay Sood</x:v>
      </x:c>
    </x:row>
    <x:row r="30">
      <x:c r="A30" s="28" t="str">
        <x:v>Aster Grove Residences</x:v>
      </x:c>
      <x:c r="B30" s="28" t="str">
        <x:v>AGR-A2201</x:v>
      </x:c>
      <x:c r="C30" s="28" t="str">
        <x:v>88197793</x:v>
      </x:c>
      <x:c r="D30" s="28" t="str">
        <x:v>Eva Desai</x:v>
      </x:c>
      <x:c r="E30" s="32" t="n">
        <x:v>7393000</x:v>
      </x:c>
      <x:c r="F30" s="28" t="str">
        <x:v>Agreement</x:v>
      </x:c>
      <x:c r="G30" s="34" t="n">
        <x:v>46133</x:v>
      </x:c>
      <x:c r="H30" s="32" t="n">
        <x:v>739000</x:v>
      </x:c>
      <x:c r="I30" s="34" t="n">
        <x:v>46163</x:v>
      </x:c>
      <x:c r="J30" s="32" t="n">
        <x:v>739000</x:v>
      </x:c>
      <x:c r="K30" s="32" t="n">
        <x:f>IF(OR(ISBLANK(H30),ISBLANK(J30)),"",H30-J30)</x:f>
        <x:v>0</x:v>
      </x:c>
      <x:c r="L30" s="36" t="n">
        <x:f>IF(OR(ISBLANK(I30),ISBLANK(K30)),"",MAX(0,$B$2-I30))</x:f>
        <x:v>71</x:v>
      </x:c>
      <x:c r="M30" s="28" t="str">
        <x:f>IF(ISBLANK(H30),"Missing Demand",IF(K30&lt;=0,"Paid",IF(ISBLANK(I30),"Due Date Missing",IF(I30&gt;$B$2,"Not Due",IF(J30&gt;0,"Part Paid","Overdue")))))</x:f>
        <x:v>Paid</x:v>
      </x:c>
      <x:c r="N30" s="28" t="str">
        <x:v>Meera Nair</x:v>
      </x:c>
      <x:c r="O30" s="28" t="str">
        <x:f>IF(OR(K30&gt;500000,L30&gt;30,ISBLANK(N30)),"Yes","No")</x:f>
        <x:v>Yes</x:v>
      </x:c>
      <x:c r="P30" s="28" t="str">
        <x:v>Customer funding pending</x:v>
      </x:c>
      <x:c r="Q30" s="28" t="str">
        <x:v>Pranay Sood</x:v>
      </x:c>
    </x:row>
    <x:row r="31">
      <x:c r="A31" s="28" t="str">
        <x:v>Aster Grove Residences</x:v>
      </x:c>
      <x:c r="B31" s="28" t="str">
        <x:v>AGR-C0801</x:v>
      </x:c>
      <x:c r="C31" s="28" t="str">
        <x:v>88707314</x:v>
      </x:c>
      <x:c r="D31" s="28" t="str">
        <x:v>Sara Talwar</x:v>
      </x:c>
      <x:c r="E31" s="32" t="n">
        <x:v>10428000</x:v>
      </x:c>
      <x:c r="F31" s="28" t="str">
        <x:v>Booking</x:v>
      </x:c>
      <x:c r="G31" s="34" t="n">
        <x:v>46222</x:v>
      </x:c>
      <x:c r="H31" s="32" t="n">
        <x:v>1043000</x:v>
      </x:c>
      <x:c r="I31" s="34" t="n">
        <x:v>46243</x:v>
      </x:c>
      <x:c r="J31" s="32" t="n">
        <x:v>0</x:v>
      </x:c>
      <x:c r="K31" s="32" t="n">
        <x:f>IF(OR(ISBLANK(H31),ISBLANK(J31)),"",H31-J31)</x:f>
        <x:v>1043000</x:v>
      </x:c>
      <x:c r="L31" s="36" t="n">
        <x:f>IF(OR(ISBLANK(I31),ISBLANK(K31)),"",MAX(0,$B$2-I31))</x:f>
        <x:v>0</x:v>
      </x:c>
      <x:c r="M31" s="28" t="str">
        <x:f>IF(ISBLANK(H31),"Missing Demand",IF(K31&lt;=0,"Paid",IF(ISBLANK(I31),"Due Date Missing",IF(I31&gt;$B$2,"Not Due",IF(J31&gt;0,"Part Paid","Overdue")))))</x:f>
        <x:v>Not Due</x:v>
      </x:c>
      <x:c r="N31" s="28" t="str">
        <x:v>Ankit Suri</x:v>
      </x:c>
      <x:c r="O31" s="28" t="str">
        <x:f>IF(OR(K31&gt;500000,L31&gt;30,ISBLANK(N31)),"Yes","No")</x:f>
        <x:v>Yes</x:v>
      </x:c>
      <x:c r="P31" s="28" t="str">
        <x:v>Milestone clarity required</x:v>
      </x:c>
      <x:c r="Q31" s="28" t="str">
        <x:v>Mitali Verma</x:v>
      </x:c>
    </x:row>
    <x:row r="32">
      <x:c r="A32" s="28" t="str">
        <x:v>Aster Grove Residences</x:v>
      </x:c>
      <x:c r="B32" s="28" t="str">
        <x:v>AGR-C0801</x:v>
      </x:c>
      <x:c r="C32" s="28" t="str">
        <x:v>88707314</x:v>
      </x:c>
      <x:c r="D32" s="28" t="str">
        <x:v>Sara Talwar</x:v>
      </x:c>
      <x:c r="E32" s="32" t="n">
        <x:v>10428000</x:v>
      </x:c>
      <x:c r="F32" s="28" t="str">
        <x:v>Agreement</x:v>
      </x:c>
      <x:c r="G32" s="34" t="n">
        <x:v>46157</x:v>
      </x:c>
      <x:c r="H32" s="32" t="n">
        <x:v>1043000</x:v>
      </x:c>
      <x:c r="I32" s="34" t="n">
        <x:v>46172</x:v>
      </x:c>
      <x:c r="J32" s="32" t="n">
        <x:v>261000</x:v>
      </x:c>
      <x:c r="K32" s="32" t="n">
        <x:f>IF(OR(ISBLANK(H32),ISBLANK(J32)),"",H32-J32)</x:f>
        <x:v>782000</x:v>
      </x:c>
      <x:c r="L32" s="36" t="n">
        <x:f>IF(OR(ISBLANK(I32),ISBLANK(K32)),"",MAX(0,$B$2-I32))</x:f>
        <x:v>62</x:v>
      </x:c>
      <x:c r="M32" s="28" t="str">
        <x:f>IF(ISBLANK(H32),"Missing Demand",IF(K32&lt;=0,"Paid",IF(ISBLANK(I32),"Due Date Missing",IF(I32&gt;$B$2,"Not Due",IF(J32&gt;0,"Part Paid","Overdue")))))</x:f>
        <x:v>Part Paid</x:v>
      </x:c>
      <x:c r="N32" s="28" t="str">
        <x:v>Kunal Shah</x:v>
      </x:c>
      <x:c r="O32" s="28" t="str">
        <x:f>IF(OR(K32&gt;500000,L32&gt;30,ISBLANK(N32)),"Yes","No")</x:f>
        <x:v>Yes</x:v>
      </x:c>
      <x:c r="P32" s="28" t="str">
        <x:v>Milestone clarity required</x:v>
      </x:c>
      <x:c r="Q32" s="28" t="str">
        <x:v>Mitali Verma</x:v>
      </x:c>
    </x:row>
    <x:row r="33">
      <x:c r="A33" s="28" t="str">
        <x:v>Aster Grove Residences</x:v>
      </x:c>
      <x:c r="B33" s="28" t="str">
        <x:v>AGR-C0801</x:v>
      </x:c>
      <x:c r="C33" s="28" t="str">
        <x:v>88707314</x:v>
      </x:c>
      <x:c r="D33" s="28" t="str">
        <x:v>Sara Talwar</x:v>
      </x:c>
      <x:c r="E33" s="32" t="n">
        <x:v>10428000</x:v>
      </x:c>
      <x:c r="F33" s="28" t="str">
        <x:v>Brickwork Completion</x:v>
      </x:c>
      <x:c r="G33" s="34" t="n">
        <x:v>46209</x:v>
      </x:c>
      <x:c r="H33" s="32" t="n">
        <x:v>1564000</x:v>
      </x:c>
      <x:c r="I33" s="34" t="n">
        <x:v>46230</x:v>
      </x:c>
      <x:c r="J33" s="32" t="n">
        <x:v>0</x:v>
      </x:c>
      <x:c r="K33" s="32" t="n">
        <x:f>IF(OR(ISBLANK(H33),ISBLANK(J33)),"",H33-J33)</x:f>
        <x:v>1564000</x:v>
      </x:c>
      <x:c r="L33" s="36" t="n">
        <x:f>IF(OR(ISBLANK(I33),ISBLANK(K33)),"",MAX(0,$B$2-I33))</x:f>
        <x:v>4</x:v>
      </x:c>
      <x:c r="M33" s="28" t="str">
        <x:f>IF(ISBLANK(H33),"Missing Demand",IF(K33&lt;=0,"Paid",IF(ISBLANK(I33),"Due Date Missing",IF(I33&gt;$B$2,"Not Due",IF(J33&gt;0,"Part Paid","Overdue")))))</x:f>
        <x:v>Overdue</x:v>
      </x:c>
      <x:c r="N33" s="28" t="str">
        <x:v>Rohan Iyer</x:v>
      </x:c>
      <x:c r="O33" s="28" t="str">
        <x:f>IF(OR(K33&gt;500000,L33&gt;30,ISBLANK(N33)),"Yes","No")</x:f>
        <x:v>Yes</x:v>
      </x:c>
      <x:c r="P33" s="28" t="str">
        <x:v>Bank disbursement delayed</x:v>
      </x:c>
      <x:c r="Q33" s="28" t="str">
        <x:v>Mitali Verma</x:v>
      </x:c>
    </x:row>
    <x:row r="34">
      <x:c r="A34" s="28" t="str">
        <x:v>Aster Grove Residences</x:v>
      </x:c>
      <x:c r="B34" s="28" t="str">
        <x:v>AGR-C0801</x:v>
      </x:c>
      <x:c r="C34" s="28" t="str">
        <x:v>88707314</x:v>
      </x:c>
      <x:c r="D34" s="28" t="str">
        <x:v>Sara Talwar</x:v>
      </x:c>
      <x:c r="E34" s="32" t="n">
        <x:v>10428000</x:v>
      </x:c>
      <x:c r="F34" s="28" t="str">
        <x:v>Finishing Completion</x:v>
      </x:c>
      <x:c r="G34" s="34" t="n">
        <x:v>46239</x:v>
      </x:c>
      <x:c r="H34" s="32" t="n">
        <x:v>2086000</x:v>
      </x:c>
      <x:c r="I34" s="34" t="n">
        <x:v>46260</x:v>
      </x:c>
      <x:c r="J34" s="32" t="n">
        <x:v>209000</x:v>
      </x:c>
      <x:c r="K34" s="32" t="n">
        <x:f>IF(OR(ISBLANK(H34),ISBLANK(J34)),"",H34-J34)</x:f>
        <x:v>1877000</x:v>
      </x:c>
      <x:c r="L34" s="36" t="n">
        <x:f>IF(OR(ISBLANK(I34),ISBLANK(K34)),"",MAX(0,$B$2-I34))</x:f>
        <x:v>0</x:v>
      </x:c>
      <x:c r="M34" s="28" t="str">
        <x:f>IF(ISBLANK(H34),"Missing Demand",IF(K34&lt;=0,"Paid",IF(ISBLANK(I34),"Due Date Missing",IF(I34&gt;$B$2,"Not Due",IF(J34&gt;0,"Part Paid","Overdue")))))</x:f>
        <x:v>Not Due</x:v>
      </x:c>
      <x:c r="N34" s="28" t="str">
        <x:v>Tanvi Rao</x:v>
      </x:c>
      <x:c r="O34" s="28" t="str">
        <x:f>IF(OR(K34&gt;500000,L34&gt;30,ISBLANK(N34)),"Yes","No")</x:f>
        <x:v>Yes</x:v>
      </x:c>
      <x:c r="P34" s="28" t="str">
        <x:v>Customer funding pending</x:v>
      </x:c>
      <x:c r="Q34" s="28" t="str">
        <x:v>Mitali Verma</x:v>
      </x:c>
    </x:row>
    <x:row r="35">
      <x:c r="A35" s="28" t="str">
        <x:v>Aster Grove Residences</x:v>
      </x:c>
      <x:c r="B35" s="28" t="str">
        <x:v>AGR-D2306</x:v>
      </x:c>
      <x:c r="C35" s="28" t="str">
        <x:v>88373432</x:v>
      </x:c>
      <x:c r="D35" s="28" t="str">
        <x:v>Samar Menon</x:v>
      </x:c>
      <x:c r="E35" s="32" t="n">
        <x:v>7251000</x:v>
      </x:c>
      <x:c r="F35" s="28" t="str">
        <x:v>Booking</x:v>
      </x:c>
      <x:c r="G35" s="34" t="n">
        <x:v>46119</x:v>
      </x:c>
      <x:c r="H35" s="32" t="n">
        <x:v>725000</x:v>
      </x:c>
      <x:c r="I35" s="34" t="n">
        <x:v>46140</x:v>
      </x:c>
      <x:c r="J35" s="32" t="n">
        <x:v>0</x:v>
      </x:c>
      <x:c r="K35" s="32" t="n">
        <x:f>IF(OR(ISBLANK(H35),ISBLANK(J35)),"",H35-J35)</x:f>
        <x:v>725000</x:v>
      </x:c>
      <x:c r="L35" s="36" t="n">
        <x:f>IF(OR(ISBLANK(I35),ISBLANK(K35)),"",MAX(0,$B$2-I35))</x:f>
        <x:v>94</x:v>
      </x:c>
      <x:c r="M35" s="28" t="str">
        <x:f>IF(ISBLANK(H35),"Missing Demand",IF(K35&lt;=0,"Paid",IF(ISBLANK(I35),"Due Date Missing",IF(I35&gt;$B$2,"Not Due",IF(J35&gt;0,"Part Paid","Overdue")))))</x:f>
        <x:v>Overdue</x:v>
      </x:c>
      <x:c r="N35" s="28"/>
      <x:c r="O35" s="28" t="str">
        <x:f>IF(OR(K35&gt;500000,L35&gt;30,ISBLANK(N35)),"Yes","No")</x:f>
        <x:v>Yes</x:v>
      </x:c>
      <x:c r="P35" s="28" t="str">
        <x:v>Documentation pending</x:v>
      </x:c>
      <x:c r="Q35" s="28" t="str">
        <x:v>Nupur Arora</x:v>
      </x:c>
    </x:row>
    <x:row r="36">
      <x:c r="A36" s="28" t="str">
        <x:v>Aster Grove Residences</x:v>
      </x:c>
      <x:c r="B36" s="28" t="str">
        <x:v>AGR-D2306</x:v>
      </x:c>
      <x:c r="C36" s="28" t="str">
        <x:v>88373432</x:v>
      </x:c>
      <x:c r="D36" s="28" t="str">
        <x:v>Samar Menon</x:v>
      </x:c>
      <x:c r="E36" s="32" t="n">
        <x:v>7251000</x:v>
      </x:c>
      <x:c r="F36" s="28" t="str">
        <x:v>Agreement</x:v>
      </x:c>
      <x:c r="G36" s="34" t="n">
        <x:v>46154</x:v>
      </x:c>
      <x:c r="H36" s="32" t="n">
        <x:v>725000</x:v>
      </x:c>
      <x:c r="I36" s="34" t="n">
        <x:v>46175</x:v>
      </x:c>
      <x:c r="J36" s="32" t="n">
        <x:v>725000</x:v>
      </x:c>
      <x:c r="K36" s="32" t="n">
        <x:f>IF(OR(ISBLANK(H36),ISBLANK(J36)),"",H36-J36)</x:f>
        <x:v>0</x:v>
      </x:c>
      <x:c r="L36" s="36" t="n">
        <x:f>IF(OR(ISBLANK(I36),ISBLANK(K36)),"",MAX(0,$B$2-I36))</x:f>
        <x:v>59</x:v>
      </x:c>
      <x:c r="M36" s="28" t="str">
        <x:f>IF(ISBLANK(H36),"Missing Demand",IF(K36&lt;=0,"Paid",IF(ISBLANK(I36),"Due Date Missing",IF(I36&gt;$B$2,"Not Due",IF(J36&gt;0,"Part Paid","Overdue")))))</x:f>
        <x:v>Paid</x:v>
      </x:c>
      <x:c r="N36" s="28" t="str">
        <x:v>Meera Nair</x:v>
      </x:c>
      <x:c r="O36" s="28" t="str">
        <x:f>IF(OR(K36&gt;500000,L36&gt;30,ISBLANK(N36)),"Yes","No")</x:f>
        <x:v>Yes</x:v>
      </x:c>
      <x:c r="P36" s="28" t="str">
        <x:v>Demand not acknowledged</x:v>
      </x:c>
      <x:c r="Q36" s="28" t="str">
        <x:v>Nupur Arora</x:v>
      </x:c>
    </x:row>
    <x:row r="37">
      <x:c r="A37" s="28" t="str">
        <x:v>Aster Grove Residences</x:v>
      </x:c>
      <x:c r="B37" s="28" t="str">
        <x:v>AGR-B2406</x:v>
      </x:c>
      <x:c r="C37" s="28" t="str">
        <x:v>88313487</x:v>
      </x:c>
      <x:c r="D37" s="28" t="str">
        <x:v>Misha Saxena</x:v>
      </x:c>
      <x:c r="E37" s="32" t="n">
        <x:v>13458000</x:v>
      </x:c>
      <x:c r="F37" s="28" t="str">
        <x:v>Booking</x:v>
      </x:c>
      <x:c r="G37" s="34" t="n">
        <x:v>46215</x:v>
      </x:c>
      <x:c r="H37" s="32" t="n">
        <x:v>1346000</x:v>
      </x:c>
      <x:c r="I37" s="34" t="n">
        <x:v>46230</x:v>
      </x:c>
      <x:c r="J37" s="32" t="n">
        <x:v>1010000</x:v>
      </x:c>
      <x:c r="K37" s="32" t="n">
        <x:f>IF(OR(ISBLANK(H37),ISBLANK(J37)),"",H37-J37)</x:f>
        <x:v>336000</x:v>
      </x:c>
      <x:c r="L37" s="36" t="n">
        <x:f>IF(OR(ISBLANK(I37),ISBLANK(K37)),"",MAX(0,$B$2-I37))</x:f>
        <x:v>4</x:v>
      </x:c>
      <x:c r="M37" s="28" t="str">
        <x:f>IF(ISBLANK(H37),"Missing Demand",IF(K37&lt;=0,"Paid",IF(ISBLANK(I37),"Due Date Missing",IF(I37&gt;$B$2,"Not Due",IF(J37&gt;0,"Part Paid","Overdue")))))</x:f>
        <x:v>Part Paid</x:v>
      </x:c>
      <x:c r="N37" s="28" t="str">
        <x:v>Rohan Iyer</x:v>
      </x:c>
      <x:c r="O37" s="28" t="str">
        <x:f>IF(OR(K37&gt;500000,L37&gt;30,ISBLANK(N37)),"Yes","No")</x:f>
        <x:v>No</x:v>
      </x:c>
      <x:c r="P37" s="28" t="str">
        <x:v>Bank disbursement delayed</x:v>
      </x:c>
      <x:c r="Q37" s="28" t="str">
        <x:v>Pranay Sood</x:v>
      </x:c>
    </x:row>
    <x:row r="38">
      <x:c r="A38" s="28" t="str">
        <x:v>Aster Grove Residences</x:v>
      </x:c>
      <x:c r="B38" s="28" t="str">
        <x:v>AGR-B2406</x:v>
      </x:c>
      <x:c r="C38" s="28" t="str">
        <x:v>88313487</x:v>
      </x:c>
      <x:c r="D38" s="28" t="str">
        <x:v>Misha Saxena</x:v>
      </x:c>
      <x:c r="E38" s="32" t="n">
        <x:v>13458000</x:v>
      </x:c>
      <x:c r="F38" s="28" t="str">
        <x:v>Agreement</x:v>
      </x:c>
      <x:c r="G38" s="34" t="n">
        <x:v>46238</x:v>
      </x:c>
      <x:c r="H38" s="32" t="n">
        <x:v>1346000</x:v>
      </x:c>
      <x:c r="I38" s="34" t="n">
        <x:v>46253</x:v>
      </x:c>
      <x:c r="J38" s="32" t="n">
        <x:v>135000</x:v>
      </x:c>
      <x:c r="K38" s="32" t="n">
        <x:f>IF(OR(ISBLANK(H38),ISBLANK(J38)),"",H38-J38)</x:f>
        <x:v>1211000</x:v>
      </x:c>
      <x:c r="L38" s="36" t="n">
        <x:f>IF(OR(ISBLANK(I38),ISBLANK(K38)),"",MAX(0,$B$2-I38))</x:f>
        <x:v>0</x:v>
      </x:c>
      <x:c r="M38" s="28" t="str">
        <x:f>IF(ISBLANK(H38),"Missing Demand",IF(K38&lt;=0,"Paid",IF(ISBLANK(I38),"Due Date Missing",IF(I38&gt;$B$2,"Not Due",IF(J38&gt;0,"Part Paid","Overdue")))))</x:f>
        <x:v>Not Due</x:v>
      </x:c>
      <x:c r="N38" s="28" t="str">
        <x:v>Meera Nair</x:v>
      </x:c>
      <x:c r="O38" s="28" t="str">
        <x:f>IF(OR(K38&gt;500000,L38&gt;30,ISBLANK(N38)),"Yes","No")</x:f>
        <x:v>Yes</x:v>
      </x:c>
      <x:c r="P38" s="28" t="str">
        <x:v>Payment promised this week</x:v>
      </x:c>
      <x:c r="Q38" s="28" t="str">
        <x:v>Pranay Sood</x:v>
      </x:c>
    </x:row>
    <x:row r="39">
      <x:c r="A39" s="28" t="str">
        <x:v>Aster Grove Residences</x:v>
      </x:c>
      <x:c r="B39" s="28" t="str">
        <x:v>AGR-B2406</x:v>
      </x:c>
      <x:c r="C39" s="28" t="str">
        <x:v>88313487</x:v>
      </x:c>
      <x:c r="D39" s="28" t="str">
        <x:v>Misha Saxena</x:v>
      </x:c>
      <x:c r="E39" s="32" t="n">
        <x:v>13458000</x:v>
      </x:c>
      <x:c r="F39" s="28" t="str">
        <x:v>Excavation</x:v>
      </x:c>
      <x:c r="G39" s="34" t="n">
        <x:v>46246</x:v>
      </x:c>
      <x:c r="H39" s="32" t="n">
        <x:v>1346000</x:v>
      </x:c>
      <x:c r="I39" s="34" t="n">
        <x:v>46261</x:v>
      </x:c>
      <x:c r="J39" s="32" t="n">
        <x:v>135000</x:v>
      </x:c>
      <x:c r="K39" s="32" t="n">
        <x:f>IF(OR(ISBLANK(H39),ISBLANK(J39)),"",H39-J39)</x:f>
        <x:v>1211000</x:v>
      </x:c>
      <x:c r="L39" s="36" t="n">
        <x:f>IF(OR(ISBLANK(I39),ISBLANK(K39)),"",MAX(0,$B$2-I39))</x:f>
        <x:v>0</x:v>
      </x:c>
      <x:c r="M39" s="28" t="str">
        <x:f>IF(ISBLANK(H39),"Missing Demand",IF(K39&lt;=0,"Paid",IF(ISBLANK(I39),"Due Date Missing",IF(I39&gt;$B$2,"Not Due",IF(J39&gt;0,"Part Paid","Overdue")))))</x:f>
        <x:v>Not Due</x:v>
      </x:c>
      <x:c r="N39" s="28" t="str">
        <x:v>Ankit Suri</x:v>
      </x:c>
      <x:c r="O39" s="28" t="str">
        <x:f>IF(OR(K39&gt;500000,L39&gt;30,ISBLANK(N39)),"Yes","No")</x:f>
        <x:v>Yes</x:v>
      </x:c>
      <x:c r="P39" s="28" t="str">
        <x:v>Milestone clarity required</x:v>
      </x:c>
      <x:c r="Q39" s="28" t="str">
        <x:v>Pranay Sood</x:v>
      </x:c>
    </x:row>
    <x:row r="40">
      <x:c r="A40" s="28" t="str">
        <x:v>Aster Grove Residences</x:v>
      </x:c>
      <x:c r="B40" s="28" t="str">
        <x:v>AGR-A0502</x:v>
      </x:c>
      <x:c r="C40" s="28" t="str">
        <x:v>88824586</x:v>
      </x:c>
      <x:c r="D40" s="28" t="str">
        <x:v>Dhruv Rastogi</x:v>
      </x:c>
      <x:c r="E40" s="32" t="n">
        <x:v>18657000</x:v>
      </x:c>
      <x:c r="F40" s="28" t="str">
        <x:v>Booking</x:v>
      </x:c>
      <x:c r="G40" s="34" t="n">
        <x:v>46193</x:v>
      </x:c>
      <x:c r="H40" s="32" t="n">
        <x:v>1866000</x:v>
      </x:c>
      <x:c r="I40" s="34" t="n">
        <x:v>46208</x:v>
      </x:c>
      <x:c r="J40" s="32" t="n">
        <x:v>1866000</x:v>
      </x:c>
      <x:c r="K40" s="32" t="n">
        <x:f>IF(OR(ISBLANK(H40),ISBLANK(J40)),"",H40-J40)</x:f>
        <x:v>0</x:v>
      </x:c>
      <x:c r="L40" s="36" t="n">
        <x:f>IF(OR(ISBLANK(I40),ISBLANK(K40)),"",MAX(0,$B$2-I40))</x:f>
        <x:v>26</x:v>
      </x:c>
      <x:c r="M40" s="28" t="str">
        <x:f>IF(ISBLANK(H40),"Missing Demand",IF(K40&lt;=0,"Paid",IF(ISBLANK(I40),"Due Date Missing",IF(I40&gt;$B$2,"Not Due",IF(J40&gt;0,"Part Paid","Overdue")))))</x:f>
        <x:v>Paid</x:v>
      </x:c>
      <x:c r="N40" s="28" t="str">
        <x:v>Meera Nair</x:v>
      </x:c>
      <x:c r="O40" s="28" t="str">
        <x:f>IF(OR(K40&gt;500000,L40&gt;30,ISBLANK(N40)),"Yes","No")</x:f>
        <x:v>No</x:v>
      </x:c>
      <x:c r="P40" s="28" t="str">
        <x:v>Customer funding pending</x:v>
      </x:c>
      <x:c r="Q40" s="28" t="str">
        <x:v>Pranay Sood</x:v>
      </x:c>
    </x:row>
    <x:row r="41">
      <x:c r="A41" s="28" t="str">
        <x:v>Aster Grove Residences</x:v>
      </x:c>
      <x:c r="B41" s="28" t="str">
        <x:v>AGR-A0502</x:v>
      </x:c>
      <x:c r="C41" s="28" t="str">
        <x:v>88824586</x:v>
      </x:c>
      <x:c r="D41" s="28" t="str">
        <x:v>Dhruv Rastogi</x:v>
      </x:c>
      <x:c r="E41" s="32" t="n">
        <x:v>18657000</x:v>
      </x:c>
      <x:c r="F41" s="28" t="str">
        <x:v>Agreement</x:v>
      </x:c>
      <x:c r="G41" s="34" t="n">
        <x:v>46204</x:v>
      </x:c>
      <x:c r="H41" s="32" t="n">
        <x:v>1866000</x:v>
      </x:c>
      <x:c r="I41" s="34" t="n">
        <x:v>46219</x:v>
      </x:c>
      <x:c r="J41" s="32" t="n">
        <x:v>466000</x:v>
      </x:c>
      <x:c r="K41" s="32" t="n">
        <x:f>IF(OR(ISBLANK(H41),ISBLANK(J41)),"",H41-J41)</x:f>
        <x:v>1400000</x:v>
      </x:c>
      <x:c r="L41" s="36" t="n">
        <x:f>IF(OR(ISBLANK(I41),ISBLANK(K41)),"",MAX(0,$B$2-I41))</x:f>
        <x:v>15</x:v>
      </x:c>
      <x:c r="M41" s="28" t="str">
        <x:f>IF(ISBLANK(H41),"Missing Demand",IF(K41&lt;=0,"Paid",IF(ISBLANK(I41),"Due Date Missing",IF(I41&gt;$B$2,"Not Due",IF(J41&gt;0,"Part Paid","Overdue")))))</x:f>
        <x:v>Part Paid</x:v>
      </x:c>
      <x:c r="N41" s="28" t="str">
        <x:v>Rohan Iyer</x:v>
      </x:c>
      <x:c r="O41" s="28" t="str">
        <x:f>IF(OR(K41&gt;500000,L41&gt;30,ISBLANK(N41)),"Yes","No")</x:f>
        <x:v>Yes</x:v>
      </x:c>
      <x:c r="P41" s="28" t="str">
        <x:v>Milestone clarity required</x:v>
      </x:c>
      <x:c r="Q41" s="28" t="str">
        <x:v>Pranay Sood</x:v>
      </x:c>
    </x:row>
    <x:row r="42">
      <x:c r="A42" s="28" t="str">
        <x:v>Aster Grove Residences</x:v>
      </x:c>
      <x:c r="B42" s="28" t="str">
        <x:v>AGR-B2703</x:v>
      </x:c>
      <x:c r="C42" s="28" t="str">
        <x:v>88532322</x:v>
      </x:c>
      <x:c r="D42" s="28" t="str">
        <x:v>Nikhil Khanna</x:v>
      </x:c>
      <x:c r="E42" s="32" t="n">
        <x:v>10961000</x:v>
      </x:c>
      <x:c r="F42" s="28" t="str">
        <x:v>Booking</x:v>
      </x:c>
      <x:c r="G42" s="34" t="n">
        <x:v>46127</x:v>
      </x:c>
      <x:c r="H42" s="32" t="n">
        <x:v>1096000</x:v>
      </x:c>
      <x:c r="I42" s="34" t="n">
        <x:v>46157</x:v>
      </x:c>
      <x:c r="J42" s="32" t="n">
        <x:v>1096000</x:v>
      </x:c>
      <x:c r="K42" s="32" t="n">
        <x:f>IF(OR(ISBLANK(H42),ISBLANK(J42)),"",H42-J42)</x:f>
        <x:v>0</x:v>
      </x:c>
      <x:c r="L42" s="36" t="n">
        <x:f>IF(OR(ISBLANK(I42),ISBLANK(K42)),"",MAX(0,$B$2-I42))</x:f>
        <x:v>77</x:v>
      </x:c>
      <x:c r="M42" s="28" t="str">
        <x:f>IF(ISBLANK(H42),"Missing Demand",IF(K42&lt;=0,"Paid",IF(ISBLANK(I42),"Due Date Missing",IF(I42&gt;$B$2,"Not Due",IF(J42&gt;0,"Part Paid","Overdue")))))</x:f>
        <x:v>Paid</x:v>
      </x:c>
      <x:c r="N42" s="28" t="str">
        <x:v>Meera Nair</x:v>
      </x:c>
      <x:c r="O42" s="28" t="str">
        <x:f>IF(OR(K42&gt;500000,L42&gt;30,ISBLANK(N42)),"Yes","No")</x:f>
        <x:v>Yes</x:v>
      </x:c>
      <x:c r="P42" s="28" t="str">
        <x:v>Bank disbursement delayed</x:v>
      </x:c>
      <x:c r="Q42" s="28" t="str">
        <x:v>Nupur Arora</x:v>
      </x:c>
    </x:row>
    <x:row r="43">
      <x:c r="A43" s="28" t="str">
        <x:v>Aster Grove Residences</x:v>
      </x:c>
      <x:c r="B43" s="28" t="str">
        <x:v>AGR-B2703</x:v>
      </x:c>
      <x:c r="C43" s="28" t="str">
        <x:v>88532322</x:v>
      </x:c>
      <x:c r="D43" s="28" t="str">
        <x:v>Nikhil Khanna</x:v>
      </x:c>
      <x:c r="E43" s="32" t="n">
        <x:v>10961000</x:v>
      </x:c>
      <x:c r="F43" s="28" t="str">
        <x:v>Agreement</x:v>
      </x:c>
      <x:c r="G43" s="34" t="n">
        <x:v>46191</x:v>
      </x:c>
      <x:c r="H43" s="32" t="n">
        <x:v>1096000</x:v>
      </x:c>
      <x:c r="I43" s="34" t="n">
        <x:v>46221</x:v>
      </x:c>
      <x:c r="J43" s="32" t="n">
        <x:v>110000</x:v>
      </x:c>
      <x:c r="K43" s="32" t="n">
        <x:f>IF(OR(ISBLANK(H43),ISBLANK(J43)),"",H43-J43)</x:f>
        <x:v>986000</x:v>
      </x:c>
      <x:c r="L43" s="36" t="n">
        <x:f>IF(OR(ISBLANK(I43),ISBLANK(K43)),"",MAX(0,$B$2-I43))</x:f>
        <x:v>13</x:v>
      </x:c>
      <x:c r="M43" s="28" t="str">
        <x:f>IF(ISBLANK(H43),"Missing Demand",IF(K43&lt;=0,"Paid",IF(ISBLANK(I43),"Due Date Missing",IF(I43&gt;$B$2,"Not Due",IF(J43&gt;0,"Part Paid","Overdue")))))</x:f>
        <x:v>Part Paid</x:v>
      </x:c>
      <x:c r="N43" s="28" t="str">
        <x:v>Rohan Iyer</x:v>
      </x:c>
      <x:c r="O43" s="28" t="str">
        <x:f>IF(OR(K43&gt;500000,L43&gt;30,ISBLANK(N43)),"Yes","No")</x:f>
        <x:v>Yes</x:v>
      </x:c>
      <x:c r="P43" s="28" t="str">
        <x:v>Documentation pending</x:v>
      </x:c>
      <x:c r="Q43" s="28" t="str">
        <x:v>Nupur Arora</x:v>
      </x:c>
    </x:row>
    <x:row r="44">
      <x:c r="A44" s="28" t="str">
        <x:v>Aster Grove Residences</x:v>
      </x:c>
      <x:c r="B44" s="28" t="str">
        <x:v>AGR-C0405</x:v>
      </x:c>
      <x:c r="C44" s="28" t="str">
        <x:v>88468203</x:v>
      </x:c>
      <x:c r="D44" s="28" t="str">
        <x:v>Advik Kapadia</x:v>
      </x:c>
      <x:c r="E44" s="32" t="n">
        <x:v>15548000</x:v>
      </x:c>
      <x:c r="F44" s="28" t="str">
        <x:v>Booking</x:v>
      </x:c>
      <x:c r="G44" s="34" t="n">
        <x:v>46172</x:v>
      </x:c>
      <x:c r="H44" s="32" t="n">
        <x:v>1555000</x:v>
      </x:c>
      <x:c r="I44" s="34" t="n">
        <x:v>46193</x:v>
      </x:c>
      <x:c r="J44" s="32" t="n">
        <x:v>1555000</x:v>
      </x:c>
      <x:c r="K44" s="32" t="n">
        <x:f>IF(OR(ISBLANK(H44),ISBLANK(J44)),"",H44-J44)</x:f>
        <x:v>0</x:v>
      </x:c>
      <x:c r="L44" s="36" t="n">
        <x:f>IF(OR(ISBLANK(I44),ISBLANK(K44)),"",MAX(0,$B$2-I44))</x:f>
        <x:v>41</x:v>
      </x:c>
      <x:c r="M44" s="28" t="str">
        <x:f>IF(ISBLANK(H44),"Missing Demand",IF(K44&lt;=0,"Paid",IF(ISBLANK(I44),"Due Date Missing",IF(I44&gt;$B$2,"Not Due",IF(J44&gt;0,"Part Paid","Overdue")))))</x:f>
        <x:v>Paid</x:v>
      </x:c>
      <x:c r="N44" s="28" t="str">
        <x:v>Tanvi Rao</x:v>
      </x:c>
      <x:c r="O44" s="28" t="str">
        <x:f>IF(OR(K44&gt;500000,L44&gt;30,ISBLANK(N44)),"Yes","No")</x:f>
        <x:v>Yes</x:v>
      </x:c>
      <x:c r="P44" s="28" t="str">
        <x:v>No concern raised</x:v>
      </x:c>
      <x:c r="Q44" s="28" t="str">
        <x:v>Mitali Verma</x:v>
      </x:c>
    </x:row>
    <x:row r="45">
      <x:c r="A45" s="28" t="str">
        <x:v>Aster Grove Residences</x:v>
      </x:c>
      <x:c r="B45" s="28" t="str">
        <x:v>AGR-C0405</x:v>
      </x:c>
      <x:c r="C45" s="28" t="str">
        <x:v>88468203</x:v>
      </x:c>
      <x:c r="D45" s="28" t="str">
        <x:v>Advik Kapadia</x:v>
      </x:c>
      <x:c r="E45" s="32" t="n">
        <x:v>15548000</x:v>
      </x:c>
      <x:c r="F45" s="28" t="str">
        <x:v>Agreement</x:v>
      </x:c>
      <x:c r="G45" s="34" t="n">
        <x:v>46151</x:v>
      </x:c>
      <x:c r="H45" s="32" t="n">
        <x:v>1555000</x:v>
      </x:c>
      <x:c r="I45" s="34"/>
      <x:c r="J45" s="32" t="n">
        <x:v>1555000</x:v>
      </x:c>
      <x:c r="K45" s="32" t="n">
        <x:f>IF(OR(ISBLANK(H45),ISBLANK(J45)),"",H45-J45)</x:f>
        <x:v>0</x:v>
      </x:c>
      <x:c r="L45" s="36" t="str">
        <x:f>IF(OR(ISBLANK(I45),ISBLANK(K45)),"",MAX(0,$B$2-I45))</x:f>
      </x:c>
      <x:c r="M45" s="28" t="str">
        <x:f>IF(ISBLANK(H45),"Missing Demand",IF(K45&lt;=0,"Paid",IF(ISBLANK(I45),"Due Date Missing",IF(I45&gt;$B$2,"Not Due",IF(J45&gt;0,"Part Paid","Overdue")))))</x:f>
        <x:v>Paid</x:v>
      </x:c>
      <x:c r="N45" s="28" t="str">
        <x:v>Tanvi Rao</x:v>
      </x:c>
      <x:c r="O45" s="28" t="str">
        <x:f>IF(OR(K45&gt;500000,L45&gt;30,ISBLANK(N45)),"Yes","No")</x:f>
        <x:v>No</x:v>
      </x:c>
      <x:c r="P45" s="28" t="str">
        <x:v>Demand not acknowledged</x:v>
      </x:c>
      <x:c r="Q45" s="28" t="str">
        <x:v>Mitali Verma</x:v>
      </x:c>
    </x:row>
    <x:row r="46">
      <x:c r="A46" s="28" t="str">
        <x:v>Aster Grove Residences</x:v>
      </x:c>
      <x:c r="B46" s="28" t="str">
        <x:v>AGR-C0405</x:v>
      </x:c>
      <x:c r="C46" s="28" t="str">
        <x:v>88468203</x:v>
      </x:c>
      <x:c r="D46" s="28" t="str">
        <x:v>Advik Kapadia</x:v>
      </x:c>
      <x:c r="E46" s="32" t="n">
        <x:v>15548000</x:v>
      </x:c>
      <x:c r="F46" s="28" t="str">
        <x:v>Excavation</x:v>
      </x:c>
      <x:c r="G46" s="34" t="n">
        <x:v>46206</x:v>
      </x:c>
      <x:c r="H46" s="32" t="n">
        <x:v>1555000</x:v>
      </x:c>
      <x:c r="I46" s="34" t="n">
        <x:v>46221</x:v>
      </x:c>
      <x:c r="J46" s="32" t="n">
        <x:v>1555000</x:v>
      </x:c>
      <x:c r="K46" s="32" t="n">
        <x:f>IF(OR(ISBLANK(H46),ISBLANK(J46)),"",H46-J46)</x:f>
        <x:v>0</x:v>
      </x:c>
      <x:c r="L46" s="36" t="n">
        <x:f>IF(OR(ISBLANK(I46),ISBLANK(K46)),"",MAX(0,$B$2-I46))</x:f>
        <x:v>13</x:v>
      </x:c>
      <x:c r="M46" s="28" t="str">
        <x:f>IF(ISBLANK(H46),"Missing Demand",IF(K46&lt;=0,"Paid",IF(ISBLANK(I46),"Due Date Missing",IF(I46&gt;$B$2,"Not Due",IF(J46&gt;0,"Part Paid","Overdue")))))</x:f>
        <x:v>Paid</x:v>
      </x:c>
      <x:c r="N46" s="28" t="str">
        <x:v>Kunal Shah</x:v>
      </x:c>
      <x:c r="O46" s="28" t="str">
        <x:f>IF(OR(K46&gt;500000,L46&gt;30,ISBLANK(N46)),"Yes","No")</x:f>
        <x:v>No</x:v>
      </x:c>
      <x:c r="P46" s="28" t="str">
        <x:v>Bank disbursement delayed</x:v>
      </x:c>
      <x:c r="Q46" s="28" t="str">
        <x:v>Mitali Verma</x:v>
      </x:c>
    </x:row>
    <x:row r="47">
      <x:c r="A47" s="28" t="str">
        <x:v>Aster Grove Residences</x:v>
      </x:c>
      <x:c r="B47" s="28" t="str">
        <x:v>AGR-B1001</x:v>
      </x:c>
      <x:c r="C47" s="28" t="str">
        <x:v>88843215</x:v>
      </x:c>
      <x:c r="D47" s="28" t="str">
        <x:v>Kiara Kapoor</x:v>
      </x:c>
      <x:c r="E47" s="32" t="n">
        <x:v>17802000</x:v>
      </x:c>
      <x:c r="F47" s="28" t="str">
        <x:v>Booking</x:v>
      </x:c>
      <x:c r="G47" s="34" t="n">
        <x:v>46218</x:v>
      </x:c>
      <x:c r="H47" s="32" t="n">
        <x:v>1780000</x:v>
      </x:c>
      <x:c r="I47" s="34" t="n">
        <x:v>46233</x:v>
      </x:c>
      <x:c r="J47" s="32" t="n">
        <x:v>1780000</x:v>
      </x:c>
      <x:c r="K47" s="32" t="n">
        <x:f>IF(OR(ISBLANK(H47),ISBLANK(J47)),"",H47-J47)</x:f>
        <x:v>0</x:v>
      </x:c>
      <x:c r="L47" s="36" t="n">
        <x:f>IF(OR(ISBLANK(I47),ISBLANK(K47)),"",MAX(0,$B$2-I47))</x:f>
        <x:v>1</x:v>
      </x:c>
      <x:c r="M47" s="28" t="str">
        <x:f>IF(ISBLANK(H47),"Missing Demand",IF(K47&lt;=0,"Paid",IF(ISBLANK(I47),"Due Date Missing",IF(I47&gt;$B$2,"Not Due",IF(J47&gt;0,"Part Paid","Overdue")))))</x:f>
        <x:v>Paid</x:v>
      </x:c>
      <x:c r="N47" s="28" t="str">
        <x:v>Meera Nair</x:v>
      </x:c>
      <x:c r="O47" s="28" t="str">
        <x:f>IF(OR(K47&gt;500000,L47&gt;30,ISBLANK(N47)),"Yes","No")</x:f>
        <x:v>No</x:v>
      </x:c>
      <x:c r="P47" s="28" t="str">
        <x:v>Milestone clarity required</x:v>
      </x:c>
      <x:c r="Q47" s="28" t="str">
        <x:v>Harit Sen</x:v>
      </x:c>
    </x:row>
    <x:row r="48">
      <x:c r="A48" s="28" t="str">
        <x:v>Aster Grove Residences</x:v>
      </x:c>
      <x:c r="B48" s="28" t="str">
        <x:v>AGR-B1001</x:v>
      </x:c>
      <x:c r="C48" s="28" t="str">
        <x:v>88843215</x:v>
      </x:c>
      <x:c r="D48" s="28" t="str">
        <x:v>Kiara Kapoor</x:v>
      </x:c>
      <x:c r="E48" s="32" t="n">
        <x:v>17802000</x:v>
      </x:c>
      <x:c r="F48" s="28" t="str">
        <x:v>Agreement</x:v>
      </x:c>
      <x:c r="G48" s="34" t="n">
        <x:v>46236</x:v>
      </x:c>
      <x:c r="H48" s="32" t="n">
        <x:v>1780000</x:v>
      </x:c>
      <x:c r="I48" s="34" t="n">
        <x:v>46266</x:v>
      </x:c>
      <x:c r="J48" s="32" t="n">
        <x:v>356000</x:v>
      </x:c>
      <x:c r="K48" s="32" t="n">
        <x:f>IF(OR(ISBLANK(H48),ISBLANK(J48)),"",H48-J48)</x:f>
        <x:v>1424000</x:v>
      </x:c>
      <x:c r="L48" s="36" t="n">
        <x:f>IF(OR(ISBLANK(I48),ISBLANK(K48)),"",MAX(0,$B$2-I48))</x:f>
        <x:v>0</x:v>
      </x:c>
      <x:c r="M48" s="28" t="str">
        <x:f>IF(ISBLANK(H48),"Missing Demand",IF(K48&lt;=0,"Paid",IF(ISBLANK(I48),"Due Date Missing",IF(I48&gt;$B$2,"Not Due",IF(J48&gt;0,"Part Paid","Overdue")))))</x:f>
        <x:v>Not Due</x:v>
      </x:c>
      <x:c r="N48" s="28" t="str">
        <x:v>Kunal Shah</x:v>
      </x:c>
      <x:c r="O48" s="28" t="str">
        <x:f>IF(OR(K48&gt;500000,L48&gt;30,ISBLANK(N48)),"Yes","No")</x:f>
        <x:v>Yes</x:v>
      </x:c>
      <x:c r="P48" s="28" t="str">
        <x:v>Customer funding pending</x:v>
      </x:c>
      <x:c r="Q48" s="28" t="str">
        <x:v>Harit Sen</x:v>
      </x:c>
    </x:row>
    <x:row r="49">
      <x:c r="A49" s="28" t="str">
        <x:v>Aster Grove Residences</x:v>
      </x:c>
      <x:c r="B49" s="28" t="str">
        <x:v>AGR-B1001</x:v>
      </x:c>
      <x:c r="C49" s="28" t="str">
        <x:v>88843215</x:v>
      </x:c>
      <x:c r="D49" s="28" t="str">
        <x:v>Kiara Kapoor</x:v>
      </x:c>
      <x:c r="E49" s="32" t="n">
        <x:v>17802000</x:v>
      </x:c>
      <x:c r="F49" s="28" t="str">
        <x:v>Structure Completion</x:v>
      </x:c>
      <x:c r="G49" s="34" t="n">
        <x:v>46265</x:v>
      </x:c>
      <x:c r="H49" s="32" t="n">
        <x:v>3560000</x:v>
      </x:c>
      <x:c r="I49" s="34" t="n">
        <x:v>46295</x:v>
      </x:c>
      <x:c r="J49" s="32" t="n">
        <x:v>712000</x:v>
      </x:c>
      <x:c r="K49" s="32" t="n">
        <x:f>IF(OR(ISBLANK(H49),ISBLANK(J49)),"",H49-J49)</x:f>
        <x:v>2848000</x:v>
      </x:c>
      <x:c r="L49" s="36" t="n">
        <x:f>IF(OR(ISBLANK(I49),ISBLANK(K49)),"",MAX(0,$B$2-I49))</x:f>
        <x:v>0</x:v>
      </x:c>
      <x:c r="M49" s="28" t="str">
        <x:f>IF(ISBLANK(H49),"Missing Demand",IF(K49&lt;=0,"Paid",IF(ISBLANK(I49),"Due Date Missing",IF(I49&gt;$B$2,"Not Due",IF(J49&gt;0,"Part Paid","Overdue")))))</x:f>
        <x:v>Not Due</x:v>
      </x:c>
      <x:c r="N49" s="28" t="str">
        <x:v>Rohan Iyer</x:v>
      </x:c>
      <x:c r="O49" s="28" t="str">
        <x:f>IF(OR(K49&gt;500000,L49&gt;30,ISBLANK(N49)),"Yes","No")</x:f>
        <x:v>Yes</x:v>
      </x:c>
      <x:c r="P49" s="28" t="str">
        <x:v>Customer travel / unreachable</x:v>
      </x:c>
      <x:c r="Q49" s="28" t="str">
        <x:v>Harit Sen</x:v>
      </x:c>
    </x:row>
    <x:row r="50">
      <x:c r="A50" s="28" t="str">
        <x:v>Aster Grove Residences</x:v>
      </x:c>
      <x:c r="B50" s="28" t="str">
        <x:v>AGR-B1001</x:v>
      </x:c>
      <x:c r="C50" s="28" t="str">
        <x:v>88843215</x:v>
      </x:c>
      <x:c r="D50" s="28" t="str">
        <x:v>Kiara Kapoor</x:v>
      </x:c>
      <x:c r="E50" s="32" t="n">
        <x:v>17802000</x:v>
      </x:c>
      <x:c r="F50" s="28" t="str">
        <x:v>Possession</x:v>
      </x:c>
      <x:c r="G50" s="34" t="n">
        <x:v>46168</x:v>
      </x:c>
      <x:c r="H50" s="32" t="n">
        <x:v>2670000</x:v>
      </x:c>
      <x:c r="I50" s="34" t="n">
        <x:v>46183</x:v>
      </x:c>
      <x:c r="J50" s="32" t="n">
        <x:v>0</x:v>
      </x:c>
      <x:c r="K50" s="32" t="n">
        <x:f>IF(OR(ISBLANK(H50),ISBLANK(J50)),"",H50-J50)</x:f>
        <x:v>2670000</x:v>
      </x:c>
      <x:c r="L50" s="36" t="n">
        <x:f>IF(OR(ISBLANK(I50),ISBLANK(K50)),"",MAX(0,$B$2-I50))</x:f>
        <x:v>51</x:v>
      </x:c>
      <x:c r="M50" s="28" t="str">
        <x:f>IF(ISBLANK(H50),"Missing Demand",IF(K50&lt;=0,"Paid",IF(ISBLANK(I50),"Due Date Missing",IF(I50&gt;$B$2,"Not Due",IF(J50&gt;0,"Part Paid","Overdue")))))</x:f>
        <x:v>Overdue</x:v>
      </x:c>
      <x:c r="N50" s="28" t="str">
        <x:v>Ankit Suri</x:v>
      </x:c>
      <x:c r="O50" s="28" t="str">
        <x:f>IF(OR(K50&gt;500000,L50&gt;30,ISBLANK(N50)),"Yes","No")</x:f>
        <x:v>Yes</x:v>
      </x:c>
      <x:c r="P50" s="28" t="str">
        <x:v>Demand not acknowledged</x:v>
      </x:c>
      <x:c r="Q50" s="28" t="str">
        <x:v>Harit Sen</x:v>
      </x:c>
    </x:row>
    <x:row r="51">
      <x:c r="A51" s="28" t="str">
        <x:v>Aster Grove Residences</x:v>
      </x:c>
      <x:c r="B51" s="28" t="str">
        <x:v>AGR-D2307</x:v>
      </x:c>
      <x:c r="C51" s="28" t="str">
        <x:v>88810219</x:v>
      </x:c>
      <x:c r="D51" s="28" t="str">
        <x:v>Sara Khanna</x:v>
      </x:c>
      <x:c r="E51" s="32" t="n">
        <x:v>11654000</x:v>
      </x:c>
      <x:c r="F51" s="28" t="str">
        <x:v>Booking</x:v>
      </x:c>
      <x:c r="G51" s="34" t="n">
        <x:v>46181</x:v>
      </x:c>
      <x:c r="H51" s="32" t="n">
        <x:v>1165000</x:v>
      </x:c>
      <x:c r="I51" s="34" t="n">
        <x:v>46211</x:v>
      </x:c>
      <x:c r="J51" s="32" t="n">
        <x:v>291000</x:v>
      </x:c>
      <x:c r="K51" s="32" t="n">
        <x:f>IF(OR(ISBLANK(H51),ISBLANK(J51)),"",H51-J51)</x:f>
        <x:v>874000</x:v>
      </x:c>
      <x:c r="L51" s="36" t="n">
        <x:f>IF(OR(ISBLANK(I51),ISBLANK(K51)),"",MAX(0,$B$2-I51))</x:f>
        <x:v>23</x:v>
      </x:c>
      <x:c r="M51" s="28" t="str">
        <x:f>IF(ISBLANK(H51),"Missing Demand",IF(K51&lt;=0,"Paid",IF(ISBLANK(I51),"Due Date Missing",IF(I51&gt;$B$2,"Not Due",IF(J51&gt;0,"Part Paid","Overdue")))))</x:f>
        <x:v>Part Paid</x:v>
      </x:c>
      <x:c r="N51" s="28" t="str">
        <x:v>Rohan Iyer</x:v>
      </x:c>
      <x:c r="O51" s="28" t="str">
        <x:f>IF(OR(K51&gt;500000,L51&gt;30,ISBLANK(N51)),"Yes","No")</x:f>
        <x:v>Yes</x:v>
      </x:c>
      <x:c r="P51" s="28" t="str">
        <x:v>Payment promised this week</x:v>
      </x:c>
      <x:c r="Q51" s="28" t="str">
        <x:v>Mitali Verma</x:v>
      </x:c>
    </x:row>
    <x:row r="52">
      <x:c r="A52" s="28" t="str">
        <x:v>Aster Grove Residences</x:v>
      </x:c>
      <x:c r="B52" s="28" t="str">
        <x:v>AGR-D2307</x:v>
      </x:c>
      <x:c r="C52" s="28" t="str">
        <x:v>88810219</x:v>
      </x:c>
      <x:c r="D52" s="28" t="str">
        <x:v>Sara Khanna</x:v>
      </x:c>
      <x:c r="E52" s="32" t="n">
        <x:v>11654000</x:v>
      </x:c>
      <x:c r="F52" s="28" t="str">
        <x:v>Agreement</x:v>
      </x:c>
      <x:c r="G52" s="34" t="n">
        <x:v>46227</x:v>
      </x:c>
      <x:c r="H52" s="32" t="n">
        <x:v>1165000</x:v>
      </x:c>
      <x:c r="I52" s="34" t="n">
        <x:v>46242</x:v>
      </x:c>
      <x:c r="J52" s="32" t="n">
        <x:v>0</x:v>
      </x:c>
      <x:c r="K52" s="32" t="n">
        <x:f>IF(OR(ISBLANK(H52),ISBLANK(J52)),"",H52-J52)</x:f>
        <x:v>1165000</x:v>
      </x:c>
      <x:c r="L52" s="36" t="n">
        <x:f>IF(OR(ISBLANK(I52),ISBLANK(K52)),"",MAX(0,$B$2-I52))</x:f>
        <x:v>0</x:v>
      </x:c>
      <x:c r="M52" s="28" t="str">
        <x:f>IF(ISBLANK(H52),"Missing Demand",IF(K52&lt;=0,"Paid",IF(ISBLANK(I52),"Due Date Missing",IF(I52&gt;$B$2,"Not Due",IF(J52&gt;0,"Part Paid","Overdue")))))</x:f>
        <x:v>Not Due</x:v>
      </x:c>
      <x:c r="N52" s="28" t="str">
        <x:v>Tanvi Rao</x:v>
      </x:c>
      <x:c r="O52" s="28" t="str">
        <x:f>IF(OR(K52&gt;500000,L52&gt;30,ISBLANK(N52)),"Yes","No")</x:f>
        <x:v>Yes</x:v>
      </x:c>
      <x:c r="P52" s="28" t="str">
        <x:v>Demand not acknowledged</x:v>
      </x:c>
      <x:c r="Q52" s="28" t="str">
        <x:v>Mitali Verma</x:v>
      </x:c>
    </x:row>
    <x:row r="53">
      <x:c r="A53" s="28" t="str">
        <x:v>Aster Grove Residences</x:v>
      </x:c>
      <x:c r="B53" s="28" t="str">
        <x:v>AGR-C1806</x:v>
      </x:c>
      <x:c r="C53" s="28" t="str">
        <x:v>88197923</x:v>
      </x:c>
      <x:c r="D53" s="28" t="str">
        <x:v>Yash Desai</x:v>
      </x:c>
      <x:c r="E53" s="32" t="n">
        <x:v>7902000</x:v>
      </x:c>
      <x:c r="F53" s="28" t="str">
        <x:v>Booking</x:v>
      </x:c>
      <x:c r="G53" s="34" t="n">
        <x:v>46106</x:v>
      </x:c>
      <x:c r="H53" s="32" t="n">
        <x:v>790000</x:v>
      </x:c>
      <x:c r="I53" s="34" t="n">
        <x:v>46121</x:v>
      </x:c>
      <x:c r="J53" s="32" t="n">
        <x:v>198000</x:v>
      </x:c>
      <x:c r="K53" s="32" t="n">
        <x:f>IF(OR(ISBLANK(H53),ISBLANK(J53)),"",H53-J53)</x:f>
        <x:v>592000</x:v>
      </x:c>
      <x:c r="L53" s="36" t="n">
        <x:f>IF(OR(ISBLANK(I53),ISBLANK(K53)),"",MAX(0,$B$2-I53))</x:f>
        <x:v>113</x:v>
      </x:c>
      <x:c r="M53" s="28" t="str">
        <x:f>IF(ISBLANK(H53),"Missing Demand",IF(K53&lt;=0,"Paid",IF(ISBLANK(I53),"Due Date Missing",IF(I53&gt;$B$2,"Not Due",IF(J53&gt;0,"Part Paid","Overdue")))))</x:f>
        <x:v>Part Paid</x:v>
      </x:c>
      <x:c r="N53" s="28" t="str">
        <x:v>Meera Nair</x:v>
      </x:c>
      <x:c r="O53" s="28" t="str">
        <x:f>IF(OR(K53&gt;500000,L53&gt;30,ISBLANK(N53)),"Yes","No")</x:f>
        <x:v>Yes</x:v>
      </x:c>
      <x:c r="P53" s="28" t="str">
        <x:v>Customer funding pending</x:v>
      </x:c>
      <x:c r="Q53" s="28" t="str">
        <x:v>Mitali Verma</x:v>
      </x:c>
    </x:row>
    <x:row r="54">
      <x:c r="A54" s="28" t="str">
        <x:v>Aster Grove Residences</x:v>
      </x:c>
      <x:c r="B54" s="28" t="str">
        <x:v>AGR-C1806</x:v>
      </x:c>
      <x:c r="C54" s="28" t="str">
        <x:v>88197923</x:v>
      </x:c>
      <x:c r="D54" s="28" t="str">
        <x:v>Yash Desai</x:v>
      </x:c>
      <x:c r="E54" s="32" t="n">
        <x:v>7902000</x:v>
      </x:c>
      <x:c r="F54" s="28" t="str">
        <x:v>Agreement</x:v>
      </x:c>
      <x:c r="G54" s="34" t="n">
        <x:v>46230</x:v>
      </x:c>
      <x:c r="H54" s="32" t="n">
        <x:v>790000</x:v>
      </x:c>
      <x:c r="I54" s="34" t="n">
        <x:v>46260</x:v>
      </x:c>
      <x:c r="J54" s="32" t="n">
        <x:v>79000</x:v>
      </x:c>
      <x:c r="K54" s="32" t="n">
        <x:f>IF(OR(ISBLANK(H54),ISBLANK(J54)),"",H54-J54)</x:f>
        <x:v>711000</x:v>
      </x:c>
      <x:c r="L54" s="36" t="n">
        <x:f>IF(OR(ISBLANK(I54),ISBLANK(K54)),"",MAX(0,$B$2-I54))</x:f>
        <x:v>0</x:v>
      </x:c>
      <x:c r="M54" s="28" t="str">
        <x:f>IF(ISBLANK(H54),"Missing Demand",IF(K54&lt;=0,"Paid",IF(ISBLANK(I54),"Due Date Missing",IF(I54&gt;$B$2,"Not Due",IF(J54&gt;0,"Part Paid","Overdue")))))</x:f>
        <x:v>Not Due</x:v>
      </x:c>
      <x:c r="N54" s="28" t="str">
        <x:v>Meera Nair</x:v>
      </x:c>
      <x:c r="O54" s="28" t="str">
        <x:f>IF(OR(K54&gt;500000,L54&gt;30,ISBLANK(N54)),"Yes","No")</x:f>
        <x:v>Yes</x:v>
      </x:c>
      <x:c r="P54" s="28" t="str">
        <x:v>Customer funding pending</x:v>
      </x:c>
      <x:c r="Q54" s="28" t="str">
        <x:v>Mitali Verma</x:v>
      </x:c>
    </x:row>
    <x:row r="55">
      <x:c r="A55" s="28" t="str">
        <x:v>Aster Grove Residences</x:v>
      </x:c>
      <x:c r="B55" s="28" t="str">
        <x:v>AGR-C1806</x:v>
      </x:c>
      <x:c r="C55" s="28" t="str">
        <x:v>89999999</x:v>
      </x:c>
      <x:c r="D55" s="28" t="str">
        <x:v>Yash Desai</x:v>
      </x:c>
      <x:c r="E55" s="32" t="n">
        <x:v>7902000</x:v>
      </x:c>
      <x:c r="F55" s="28" t="str">
        <x:v>Brickwork Completion</x:v>
      </x:c>
      <x:c r="G55" s="34" t="n">
        <x:v>46190</x:v>
      </x:c>
      <x:c r="H55" s="32" t="n">
        <x:v>1185000</x:v>
      </x:c>
      <x:c r="I55" s="34" t="n">
        <x:v>46205</x:v>
      </x:c>
      <x:c r="J55" s="32" t="n">
        <x:v>0</x:v>
      </x:c>
      <x:c r="K55" s="32" t="n">
        <x:f>IF(OR(ISBLANK(H55),ISBLANK(J55)),"",H55-J55)</x:f>
        <x:v>1185000</x:v>
      </x:c>
      <x:c r="L55" s="36" t="n">
        <x:f>IF(OR(ISBLANK(I55),ISBLANK(K55)),"",MAX(0,$B$2-I55))</x:f>
        <x:v>29</x:v>
      </x:c>
      <x:c r="M55" s="28" t="str">
        <x:f>IF(ISBLANK(H55),"Missing Demand",IF(K55&lt;=0,"Paid",IF(ISBLANK(I55),"Due Date Missing",IF(I55&gt;$B$2,"Not Due",IF(J55&gt;0,"Part Paid","Overdue")))))</x:f>
        <x:v>Overdue</x:v>
      </x:c>
      <x:c r="N55" s="28" t="str">
        <x:v>Tanvi Rao</x:v>
      </x:c>
      <x:c r="O55" s="28" t="str">
        <x:f>IF(OR(K55&gt;500000,L55&gt;30,ISBLANK(N55)),"Yes","No")</x:f>
        <x:v>Yes</x:v>
      </x:c>
      <x:c r="P55" s="28" t="str">
        <x:v>Documentation pending</x:v>
      </x:c>
      <x:c r="Q55" s="28" t="str">
        <x:v>Mitali Verma</x:v>
      </x:c>
    </x:row>
    <x:row r="56">
      <x:c r="A56" s="28" t="str">
        <x:v>Aster Grove Residences</x:v>
      </x:c>
      <x:c r="B56" s="28" t="str">
        <x:v>AGR-D0708</x:v>
      </x:c>
      <x:c r="C56" s="28" t="str">
        <x:v>88571932</x:v>
      </x:c>
      <x:c r="D56" s="28" t="str">
        <x:v>Dev Desai</x:v>
      </x:c>
      <x:c r="E56" s="32" t="n">
        <x:v>18274000</x:v>
      </x:c>
      <x:c r="F56" s="28" t="str">
        <x:v>Booking</x:v>
      </x:c>
      <x:c r="G56" s="34" t="n">
        <x:v>46156</x:v>
      </x:c>
      <x:c r="H56" s="32" t="n">
        <x:v>1827000</x:v>
      </x:c>
      <x:c r="I56" s="34" t="n">
        <x:v>46171</x:v>
      </x:c>
      <x:c r="J56" s="32" t="n">
        <x:v>0</x:v>
      </x:c>
      <x:c r="K56" s="32" t="n">
        <x:f>IF(OR(ISBLANK(H56),ISBLANK(J56)),"",H56-J56)</x:f>
        <x:v>1827000</x:v>
      </x:c>
      <x:c r="L56" s="36" t="n">
        <x:f>IF(OR(ISBLANK(I56),ISBLANK(K56)),"",MAX(0,$B$2-I56))</x:f>
        <x:v>63</x:v>
      </x:c>
      <x:c r="M56" s="28" t="str">
        <x:f>IF(ISBLANK(H56),"Missing Demand",IF(K56&lt;=0,"Paid",IF(ISBLANK(I56),"Due Date Missing",IF(I56&gt;$B$2,"Not Due",IF(J56&gt;0,"Part Paid","Overdue")))))</x:f>
        <x:v>Overdue</x:v>
      </x:c>
      <x:c r="N56" s="28" t="str">
        <x:v>Priya Menon</x:v>
      </x:c>
      <x:c r="O56" s="28" t="str">
        <x:f>IF(OR(K56&gt;500000,L56&gt;30,ISBLANK(N56)),"Yes","No")</x:f>
        <x:v>Yes</x:v>
      </x:c>
      <x:c r="P56" s="28" t="str">
        <x:v>Customer funding pending</x:v>
      </x:c>
      <x:c r="Q56" s="28" t="str">
        <x:v>Pranay Sood</x:v>
      </x:c>
    </x:row>
    <x:row r="57">
      <x:c r="A57" s="28" t="str">
        <x:v>Aster Grove Residences</x:v>
      </x:c>
      <x:c r="B57" s="28" t="str">
        <x:v>AGR-D0708</x:v>
      </x:c>
      <x:c r="C57" s="28" t="str">
        <x:v>88571932</x:v>
      </x:c>
      <x:c r="D57" s="28" t="str">
        <x:v>Dev Desai</x:v>
      </x:c>
      <x:c r="E57" s="32" t="n">
        <x:v>18274000</x:v>
      </x:c>
      <x:c r="F57" s="28" t="str">
        <x:v>Brickwork Completion</x:v>
      </x:c>
      <x:c r="G57" s="34" t="n">
        <x:v>46197</x:v>
      </x:c>
      <x:c r="H57" s="32" t="n">
        <x:v>2741000</x:v>
      </x:c>
      <x:c r="I57" s="34" t="n">
        <x:v>46218</x:v>
      </x:c>
      <x:c r="J57" s="32" t="n">
        <x:v>274000</x:v>
      </x:c>
      <x:c r="K57" s="32" t="n">
        <x:f>IF(OR(ISBLANK(H57),ISBLANK(J57)),"",H57-J57)</x:f>
        <x:v>2467000</x:v>
      </x:c>
      <x:c r="L57" s="36" t="n">
        <x:f>IF(OR(ISBLANK(I57),ISBLANK(K57)),"",MAX(0,$B$2-I57))</x:f>
        <x:v>16</x:v>
      </x:c>
      <x:c r="M57" s="28" t="str">
        <x:f>IF(ISBLANK(H57),"Missing Demand",IF(K57&lt;=0,"Paid",IF(ISBLANK(I57),"Due Date Missing",IF(I57&gt;$B$2,"Not Due",IF(J57&gt;0,"Part Paid","Overdue")))))</x:f>
        <x:v>Part Paid</x:v>
      </x:c>
      <x:c r="N57" s="28" t="str">
        <x:v>Tanvi Rao</x:v>
      </x:c>
      <x:c r="O57" s="28" t="str">
        <x:f>IF(OR(K57&gt;500000,L57&gt;30,ISBLANK(N57)),"Yes","No")</x:f>
        <x:v>Yes</x:v>
      </x:c>
      <x:c r="P57" s="28" t="str">
        <x:v>Documentation pending</x:v>
      </x:c>
      <x:c r="Q57" s="28" t="str">
        <x:v>Pranay Sood</x:v>
      </x:c>
    </x:row>
    <x:row r="58">
      <x:c r="A58" s="28" t="str">
        <x:v>Aster Grove Residences</x:v>
      </x:c>
      <x:c r="B58" s="28" t="str">
        <x:v>AGR-B0407</x:v>
      </x:c>
      <x:c r="C58" s="28" t="str">
        <x:v>88527398</x:v>
      </x:c>
      <x:c r="D58" s="28" t="str">
        <x:v>Aarush Talwar</x:v>
      </x:c>
      <x:c r="E58" s="32" t="n">
        <x:v>10814000</x:v>
      </x:c>
      <x:c r="F58" s="28" t="str">
        <x:v>Booking</x:v>
      </x:c>
      <x:c r="G58" s="34" t="n">
        <x:v>46202</x:v>
      </x:c>
      <x:c r="H58" s="32" t="n">
        <x:v>1081000</x:v>
      </x:c>
      <x:c r="I58" s="34" t="n">
        <x:v>46217</x:v>
      </x:c>
      <x:c r="J58" s="32" t="n">
        <x:v>1081000</x:v>
      </x:c>
      <x:c r="K58" s="32" t="n">
        <x:f>IF(OR(ISBLANK(H58),ISBLANK(J58)),"",H58-J58)</x:f>
        <x:v>0</x:v>
      </x:c>
      <x:c r="L58" s="36" t="n">
        <x:f>IF(OR(ISBLANK(I58),ISBLANK(K58)),"",MAX(0,$B$2-I58))</x:f>
        <x:v>17</x:v>
      </x:c>
      <x:c r="M58" s="28" t="str">
        <x:f>IF(ISBLANK(H58),"Missing Demand",IF(K58&lt;=0,"Paid",IF(ISBLANK(I58),"Due Date Missing",IF(I58&gt;$B$2,"Not Due",IF(J58&gt;0,"Part Paid","Overdue")))))</x:f>
        <x:v>Paid</x:v>
      </x:c>
      <x:c r="N58" s="28" t="str">
        <x:v>Priya Menon</x:v>
      </x:c>
      <x:c r="O58" s="28" t="str">
        <x:f>IF(OR(K58&gt;500000,L58&gt;30,ISBLANK(N58)),"Yes","No")</x:f>
        <x:v>No</x:v>
      </x:c>
      <x:c r="P58" s="28" t="str">
        <x:v>No concern raised</x:v>
      </x:c>
      <x:c r="Q58" s="28"/>
    </x:row>
    <x:row r="59">
      <x:c r="A59" s="28" t="str">
        <x:v>Aster Grove Residences</x:v>
      </x:c>
      <x:c r="B59" s="28" t="str">
        <x:v>AGR-B0407</x:v>
      </x:c>
      <x:c r="C59" s="28" t="str">
        <x:v>88527398</x:v>
      </x:c>
      <x:c r="D59" s="28" t="str">
        <x:v>Aarush Talwar</x:v>
      </x:c>
      <x:c r="E59" s="32" t="n">
        <x:v>10814000</x:v>
      </x:c>
      <x:c r="F59" s="28" t="str">
        <x:v>Agreement</x:v>
      </x:c>
      <x:c r="G59" s="34" t="n">
        <x:v>46159</x:v>
      </x:c>
      <x:c r="H59" s="32" t="n">
        <x:v>1081000</x:v>
      </x:c>
      <x:c r="I59" s="34" t="n">
        <x:v>46174</x:v>
      </x:c>
      <x:c r="J59" s="32" t="n">
        <x:v>1081000</x:v>
      </x:c>
      <x:c r="K59" s="32" t="n">
        <x:f>IF(OR(ISBLANK(H59),ISBLANK(J59)),"",H59-J59)</x:f>
        <x:v>0</x:v>
      </x:c>
      <x:c r="L59" s="36" t="n">
        <x:f>IF(OR(ISBLANK(I59),ISBLANK(K59)),"",MAX(0,$B$2-I59))</x:f>
        <x:v>60</x:v>
      </x:c>
      <x:c r="M59" s="28" t="str">
        <x:f>IF(ISBLANK(H59),"Missing Demand",IF(K59&lt;=0,"Paid",IF(ISBLANK(I59),"Due Date Missing",IF(I59&gt;$B$2,"Not Due",IF(J59&gt;0,"Part Paid","Overdue")))))</x:f>
        <x:v>Paid</x:v>
      </x:c>
      <x:c r="N59" s="28" t="str">
        <x:v>Meera Nair</x:v>
      </x:c>
      <x:c r="O59" s="28" t="str">
        <x:f>IF(OR(K59&gt;500000,L59&gt;30,ISBLANK(N59)),"Yes","No")</x:f>
        <x:v>Yes</x:v>
      </x:c>
      <x:c r="P59" s="28" t="str">
        <x:v>Payment promised this week</x:v>
      </x:c>
      <x:c r="Q59" s="28"/>
    </x:row>
    <x:row r="60">
      <x:c r="A60" s="28" t="str">
        <x:v>Aster Grove Residences</x:v>
      </x:c>
      <x:c r="B60" s="28" t="str">
        <x:v>AGR-B0407</x:v>
      </x:c>
      <x:c r="C60" s="28" t="str">
        <x:v>88527398</x:v>
      </x:c>
      <x:c r="D60" s="28" t="str">
        <x:v>Aarush Talwar</x:v>
      </x:c>
      <x:c r="E60" s="32" t="n">
        <x:v>10814000</x:v>
      </x:c>
      <x:c r="F60" s="28" t="str">
        <x:v>Finishing Completion</x:v>
      </x:c>
      <x:c r="G60" s="34" t="n">
        <x:v>46187</x:v>
      </x:c>
      <x:c r="H60" s="32" t="n">
        <x:v>2163000</x:v>
      </x:c>
      <x:c r="I60" s="34" t="n">
        <x:v>46202</x:v>
      </x:c>
      <x:c r="J60" s="32" t="n">
        <x:v>216000</x:v>
      </x:c>
      <x:c r="K60" s="32" t="n">
        <x:f>IF(OR(ISBLANK(H60),ISBLANK(J60)),"",H60-J60)</x:f>
        <x:v>1947000</x:v>
      </x:c>
      <x:c r="L60" s="36" t="n">
        <x:f>IF(OR(ISBLANK(I60),ISBLANK(K60)),"",MAX(0,$B$2-I60))</x:f>
        <x:v>32</x:v>
      </x:c>
      <x:c r="M60" s="28" t="str">
        <x:f>IF(ISBLANK(H60),"Missing Demand",IF(K60&lt;=0,"Paid",IF(ISBLANK(I60),"Due Date Missing",IF(I60&gt;$B$2,"Not Due",IF(J60&gt;0,"Part Paid","Overdue")))))</x:f>
        <x:v>Part Paid</x:v>
      </x:c>
      <x:c r="N60" s="28" t="str">
        <x:v>Ankit Suri</x:v>
      </x:c>
      <x:c r="O60" s="28" t="str">
        <x:f>IF(OR(K60&gt;500000,L60&gt;30,ISBLANK(N60)),"Yes","No")</x:f>
        <x:v>Yes</x:v>
      </x:c>
      <x:c r="P60" s="28" t="str">
        <x:v>Payment promised this week</x:v>
      </x:c>
      <x:c r="Q60" s="28"/>
    </x:row>
    <x:row r="61">
      <x:c r="A61" s="28" t="str">
        <x:v>Aster Grove Residences</x:v>
      </x:c>
      <x:c r="B61" s="28" t="str">
        <x:v>AGR-B1606</x:v>
      </x:c>
      <x:c r="C61" s="28" t="str">
        <x:v>88453894</x:v>
      </x:c>
      <x:c r="D61" s="28" t="str">
        <x:v>Neil Sarin</x:v>
      </x:c>
      <x:c r="E61" s="32" t="n">
        <x:v>15231000</x:v>
      </x:c>
      <x:c r="F61" s="28" t="str">
        <x:v>Booking</x:v>
      </x:c>
      <x:c r="G61" s="34" t="n">
        <x:v>46150</x:v>
      </x:c>
      <x:c r="H61" s="32" t="n">
        <x:v>1523000</x:v>
      </x:c>
      <x:c r="I61" s="34" t="n">
        <x:v>46165</x:v>
      </x:c>
      <x:c r="J61" s="32" t="n">
        <x:v>152000</x:v>
      </x:c>
      <x:c r="K61" s="32" t="n">
        <x:f>IF(OR(ISBLANK(H61),ISBLANK(J61)),"",H61-J61)</x:f>
        <x:v>1371000</x:v>
      </x:c>
      <x:c r="L61" s="36" t="n">
        <x:f>IF(OR(ISBLANK(I61),ISBLANK(K61)),"",MAX(0,$B$2-I61))</x:f>
        <x:v>69</x:v>
      </x:c>
      <x:c r="M61" s="28" t="str">
        <x:f>IF(ISBLANK(H61),"Missing Demand",IF(K61&lt;=0,"Paid",IF(ISBLANK(I61),"Due Date Missing",IF(I61&gt;$B$2,"Not Due",IF(J61&gt;0,"Part Paid","Overdue")))))</x:f>
        <x:v>Part Paid</x:v>
      </x:c>
      <x:c r="N61" s="28" t="str">
        <x:v>Meera Nair</x:v>
      </x:c>
      <x:c r="O61" s="28" t="str">
        <x:f>IF(OR(K61&gt;500000,L61&gt;30,ISBLANK(N61)),"Yes","No")</x:f>
        <x:v>Yes</x:v>
      </x:c>
      <x:c r="P61" s="28" t="str">
        <x:v>Demand not acknowledged</x:v>
      </x:c>
      <x:c r="Q61" s="28" t="str">
        <x:v>Sahil Bhatia</x:v>
      </x:c>
    </x:row>
    <x:row r="62">
      <x:c r="A62" s="28" t="str">
        <x:v>Aster Grove Residences</x:v>
      </x:c>
      <x:c r="B62" s="28" t="str">
        <x:v>AGR-B1606</x:v>
      </x:c>
      <x:c r="C62" s="28" t="str">
        <x:v>88453894</x:v>
      </x:c>
      <x:c r="D62" s="28" t="str">
        <x:v>Neil Sarin</x:v>
      </x:c>
      <x:c r="E62" s="32" t="n">
        <x:v>15231000</x:v>
      </x:c>
      <x:c r="F62" s="28" t="str">
        <x:v>Agreement</x:v>
      </x:c>
      <x:c r="G62" s="34" t="n">
        <x:v>46120</x:v>
      </x:c>
      <x:c r="H62" s="32" t="n">
        <x:v>1523000</x:v>
      </x:c>
      <x:c r="I62" s="34" t="n">
        <x:v>46150</x:v>
      </x:c>
      <x:c r="J62" s="32" t="n">
        <x:v>762000</x:v>
      </x:c>
      <x:c r="K62" s="32" t="n">
        <x:f>IF(OR(ISBLANK(H62),ISBLANK(J62)),"",H62-J62)</x:f>
        <x:v>761000</x:v>
      </x:c>
      <x:c r="L62" s="36" t="n">
        <x:f>IF(OR(ISBLANK(I62),ISBLANK(K62)),"",MAX(0,$B$2-I62))</x:f>
        <x:v>84</x:v>
      </x:c>
      <x:c r="M62" s="28" t="str">
        <x:f>IF(ISBLANK(H62),"Missing Demand",IF(K62&lt;=0,"Paid",IF(ISBLANK(I62),"Due Date Missing",IF(I62&gt;$B$2,"Not Due",IF(J62&gt;0,"Part Paid","Overdue")))))</x:f>
        <x:v>Part Paid</x:v>
      </x:c>
      <x:c r="N62" s="28" t="str">
        <x:v>Priya Menon</x:v>
      </x:c>
      <x:c r="O62" s="28" t="str">
        <x:f>IF(OR(K62&gt;500000,L62&gt;30,ISBLANK(N62)),"Yes","No")</x:f>
        <x:v>Yes</x:v>
      </x:c>
      <x:c r="P62" s="28" t="str">
        <x:v>Bank disbursement delayed</x:v>
      </x:c>
      <x:c r="Q62" s="28" t="str">
        <x:v>Sahil Bhatia</x:v>
      </x:c>
    </x:row>
    <x:row r="63">
      <x:c r="A63" s="28" t="str">
        <x:v>Aster Grove Residences</x:v>
      </x:c>
      <x:c r="B63" s="28" t="str">
        <x:v>AGR-B0608</x:v>
      </x:c>
      <x:c r="C63" s="28" t="str">
        <x:v>88801978</x:v>
      </x:c>
      <x:c r="D63" s="28" t="str">
        <x:v>Tara Bedi</x:v>
      </x:c>
      <x:c r="E63" s="32" t="n">
        <x:v>12194000</x:v>
      </x:c>
      <x:c r="F63" s="28" t="str">
        <x:v>Booking</x:v>
      </x:c>
      <x:c r="G63" s="34" t="n">
        <x:v>46185</x:v>
      </x:c>
      <x:c r="H63" s="32" t="n">
        <x:v>1219000</x:v>
      </x:c>
      <x:c r="I63" s="34" t="n">
        <x:v>46200</x:v>
      </x:c>
      <x:c r="J63" s="32" t="n">
        <x:v>914000</x:v>
      </x:c>
      <x:c r="K63" s="32" t="n">
        <x:f>IF(OR(ISBLANK(H63),ISBLANK(J63)),"",H63-J63)</x:f>
        <x:v>305000</x:v>
      </x:c>
      <x:c r="L63" s="36" t="n">
        <x:f>IF(OR(ISBLANK(I63),ISBLANK(K63)),"",MAX(0,$B$2-I63))</x:f>
        <x:v>34</x:v>
      </x:c>
      <x:c r="M63" s="28" t="str">
        <x:f>IF(ISBLANK(H63),"Missing Demand",IF(K63&lt;=0,"Paid",IF(ISBLANK(I63),"Due Date Missing",IF(I63&gt;$B$2,"Not Due",IF(J63&gt;0,"Part Paid","Overdue")))))</x:f>
        <x:v>Part Paid</x:v>
      </x:c>
      <x:c r="N63" s="28" t="str">
        <x:v>Tanvi Rao</x:v>
      </x:c>
      <x:c r="O63" s="28" t="str">
        <x:f>IF(OR(K63&gt;500000,L63&gt;30,ISBLANK(N63)),"Yes","No")</x:f>
        <x:v>Yes</x:v>
      </x:c>
      <x:c r="P63" s="28" t="str">
        <x:v>Documentation pending</x:v>
      </x:c>
      <x:c r="Q63" s="28"/>
    </x:row>
    <x:row r="64">
      <x:c r="A64" s="28" t="str">
        <x:v>Aster Grove Residences</x:v>
      </x:c>
      <x:c r="B64" s="28" t="str">
        <x:v>AGR-B0608</x:v>
      </x:c>
      <x:c r="C64" s="28" t="str">
        <x:v>88801978</x:v>
      </x:c>
      <x:c r="D64" s="28" t="str">
        <x:v>Tara Bedi</x:v>
      </x:c>
      <x:c r="E64" s="32" t="n">
        <x:v>12194000</x:v>
      </x:c>
      <x:c r="F64" s="28" t="str">
        <x:v>Agreement</x:v>
      </x:c>
      <x:c r="G64" s="34" t="n">
        <x:v>46172</x:v>
      </x:c>
      <x:c r="H64" s="32" t="n">
        <x:v>1219000</x:v>
      </x:c>
      <x:c r="I64" s="34" t="n">
        <x:v>46187</x:v>
      </x:c>
      <x:c r="J64" s="32" t="n">
        <x:v>122000</x:v>
      </x:c>
      <x:c r="K64" s="32" t="n">
        <x:f>IF(OR(ISBLANK(H64),ISBLANK(J64)),"",H64-J64)</x:f>
        <x:v>1097000</x:v>
      </x:c>
      <x:c r="L64" s="36" t="n">
        <x:f>IF(OR(ISBLANK(I64),ISBLANK(K64)),"",MAX(0,$B$2-I64))</x:f>
        <x:v>47</x:v>
      </x:c>
      <x:c r="M64" s="28" t="str">
        <x:f>IF(ISBLANK(H64),"Missing Demand",IF(K64&lt;=0,"Paid",IF(ISBLANK(I64),"Due Date Missing",IF(I64&gt;$B$2,"Not Due",IF(J64&gt;0,"Part Paid","Overdue")))))</x:f>
        <x:v>Part Paid</x:v>
      </x:c>
      <x:c r="N64" s="28" t="str">
        <x:v>Kunal Shah</x:v>
      </x:c>
      <x:c r="O64" s="28" t="str">
        <x:f>IF(OR(K64&gt;500000,L64&gt;30,ISBLANK(N64)),"Yes","No")</x:f>
        <x:v>Yes</x:v>
      </x:c>
      <x:c r="P64" s="28" t="str">
        <x:v>No concern raised</x:v>
      </x:c>
      <x:c r="Q64" s="28"/>
    </x:row>
    <x:row r="65">
      <x:c r="A65" s="28" t="str">
        <x:v>Aster Grove Residences</x:v>
      </x:c>
      <x:c r="B65" s="28" t="str">
        <x:v>AGR-A2405</x:v>
      </x:c>
      <x:c r="C65" s="28" t="str">
        <x:v>88991597</x:v>
      </x:c>
      <x:c r="D65" s="28" t="str">
        <x:v>Misha Walia</x:v>
      </x:c>
      <x:c r="E65" s="32" t="n">
        <x:v>11160000</x:v>
      </x:c>
      <x:c r="F65" s="28" t="str">
        <x:v>Booking</x:v>
      </x:c>
      <x:c r="G65" s="34" t="n">
        <x:v>46163</x:v>
      </x:c>
      <x:c r="H65" s="32" t="n">
        <x:v>1116000</x:v>
      </x:c>
      <x:c r="I65" s="34" t="n">
        <x:v>46193</x:v>
      </x:c>
      <x:c r="J65" s="32" t="n">
        <x:v>670000</x:v>
      </x:c>
      <x:c r="K65" s="32" t="n">
        <x:f>IF(OR(ISBLANK(H65),ISBLANK(J65)),"",H65-J65)</x:f>
        <x:v>446000</x:v>
      </x:c>
      <x:c r="L65" s="36" t="n">
        <x:f>IF(OR(ISBLANK(I65),ISBLANK(K65)),"",MAX(0,$B$2-I65))</x:f>
        <x:v>41</x:v>
      </x:c>
      <x:c r="M65" s="28" t="str">
        <x:f>IF(ISBLANK(H65),"Missing Demand",IF(K65&lt;=0,"Paid",IF(ISBLANK(I65),"Due Date Missing",IF(I65&gt;$B$2,"Not Due",IF(J65&gt;0,"Part Paid","Overdue")))))</x:f>
        <x:v>Part Paid</x:v>
      </x:c>
      <x:c r="N65" s="28" t="str">
        <x:v>Tanvi Rao</x:v>
      </x:c>
      <x:c r="O65" s="28" t="str">
        <x:f>IF(OR(K65&gt;500000,L65&gt;30,ISBLANK(N65)),"Yes","No")</x:f>
        <x:v>Yes</x:v>
      </x:c>
      <x:c r="P65" s="28" t="str">
        <x:v>Delay reason unclear - check with customer</x:v>
      </x:c>
      <x:c r="Q65" s="28" t="str">
        <x:v>Pranay Sood</x:v>
      </x:c>
    </x:row>
    <x:row r="66">
      <x:c r="A66" s="28" t="str">
        <x:v>Aster Grove Residences</x:v>
      </x:c>
      <x:c r="B66" s="28" t="str">
        <x:v>AGR-A2405</x:v>
      </x:c>
      <x:c r="C66" s="28" t="str">
        <x:v>88991597</x:v>
      </x:c>
      <x:c r="D66" s="28" t="str">
        <x:v>Misha Walia</x:v>
      </x:c>
      <x:c r="E66" s="32" t="n">
        <x:v>11160000</x:v>
      </x:c>
      <x:c r="F66" s="28" t="str">
        <x:v>Agreement</x:v>
      </x:c>
      <x:c r="G66" s="34" t="n">
        <x:v>46187</x:v>
      </x:c>
      <x:c r="H66" s="32" t="n">
        <x:v>1116000</x:v>
      </x:c>
      <x:c r="I66" s="34" t="n">
        <x:v>46202</x:v>
      </x:c>
      <x:c r="J66" s="32" t="n">
        <x:v>670000</x:v>
      </x:c>
      <x:c r="K66" s="32" t="n">
        <x:f>IF(OR(ISBLANK(H66),ISBLANK(J66)),"",H66-J66)</x:f>
        <x:v>446000</x:v>
      </x:c>
      <x:c r="L66" s="36" t="n">
        <x:f>IF(OR(ISBLANK(I66),ISBLANK(K66)),"",MAX(0,$B$2-I66))</x:f>
        <x:v>32</x:v>
      </x:c>
      <x:c r="M66" s="28" t="str">
        <x:f>IF(ISBLANK(H66),"Missing Demand",IF(K66&lt;=0,"Paid",IF(ISBLANK(I66),"Due Date Missing",IF(I66&gt;$B$2,"Not Due",IF(J66&gt;0,"Part Paid","Overdue")))))</x:f>
        <x:v>Part Paid</x:v>
      </x:c>
      <x:c r="N66" s="28" t="str">
        <x:v>Tanvi Rao</x:v>
      </x:c>
      <x:c r="O66" s="28" t="str">
        <x:f>IF(OR(K66&gt;500000,L66&gt;30,ISBLANK(N66)),"Yes","No")</x:f>
        <x:v>Yes</x:v>
      </x:c>
      <x:c r="P66" s="28" t="str">
        <x:v>Customer travel / unreachable</x:v>
      </x:c>
      <x:c r="Q66" s="28" t="str">
        <x:v>Pranay Sood</x:v>
      </x:c>
    </x:row>
    <x:row r="67">
      <x:c r="A67" s="28" t="str">
        <x:v>Aster Grove Residences</x:v>
      </x:c>
      <x:c r="B67" s="28" t="str">
        <x:v>AGR-A2405</x:v>
      </x:c>
      <x:c r="C67" s="28" t="str">
        <x:v>88991597</x:v>
      </x:c>
      <x:c r="D67" s="28" t="str">
        <x:v>Misha Walia</x:v>
      </x:c>
      <x:c r="E67" s="32" t="n">
        <x:v>11160000</x:v>
      </x:c>
      <x:c r="F67" s="28" t="str">
        <x:v>Possession</x:v>
      </x:c>
      <x:c r="G67" s="34" t="n">
        <x:v>46242</x:v>
      </x:c>
      <x:c r="H67" s="32" t="n">
        <x:v>1674000</x:v>
      </x:c>
      <x:c r="I67" s="34" t="n">
        <x:v>46263</x:v>
      </x:c>
      <x:c r="J67" s="32" t="n">
        <x:v>0</x:v>
      </x:c>
      <x:c r="K67" s="32" t="n">
        <x:f>IF(OR(ISBLANK(H67),ISBLANK(J67)),"",H67-J67)</x:f>
        <x:v>1674000</x:v>
      </x:c>
      <x:c r="L67" s="36" t="n">
        <x:f>IF(OR(ISBLANK(I67),ISBLANK(K67)),"",MAX(0,$B$2-I67))</x:f>
        <x:v>0</x:v>
      </x:c>
      <x:c r="M67" s="28" t="str">
        <x:f>IF(ISBLANK(H67),"Missing Demand",IF(K67&lt;=0,"Paid",IF(ISBLANK(I67),"Due Date Missing",IF(I67&gt;$B$2,"Not Due",IF(J67&gt;0,"Part Paid","Overdue")))))</x:f>
        <x:v>Not Due</x:v>
      </x:c>
      <x:c r="N67" s="28" t="str">
        <x:v>Ankit Suri</x:v>
      </x:c>
      <x:c r="O67" s="28" t="str">
        <x:f>IF(OR(K67&gt;500000,L67&gt;30,ISBLANK(N67)),"Yes","No")</x:f>
        <x:v>Yes</x:v>
      </x:c>
      <x:c r="P67" s="28" t="str">
        <x:v>Demand not acknowledged</x:v>
      </x:c>
      <x:c r="Q67" s="28" t="str">
        <x:v>Pranay Sood</x:v>
      </x:c>
    </x:row>
    <x:row r="68">
      <x:c r="A68" s="28" t="str">
        <x:v>Aster Grove Residences</x:v>
      </x:c>
      <x:c r="B68" s="28" t="str">
        <x:v>AGR-X9999</x:v>
      </x:c>
      <x:c r="C68" s="28" t="str">
        <x:v>88587455</x:v>
      </x:c>
      <x:c r="D68" s="28" t="str">
        <x:v>Kiara Batra</x:v>
      </x:c>
      <x:c r="E68" s="32" t="n">
        <x:v>12351000</x:v>
      </x:c>
      <x:c r="F68" s="28" t="str">
        <x:v>Booking</x:v>
      </x:c>
      <x:c r="G68" s="34" t="n">
        <x:v>46135</x:v>
      </x:c>
      <x:c r="H68" s="32" t="n">
        <x:v>1235000</x:v>
      </x:c>
      <x:c r="I68" s="34" t="n">
        <x:v>46156</x:v>
      </x:c>
      <x:c r="J68" s="32" t="n">
        <x:v>494000</x:v>
      </x:c>
      <x:c r="K68" s="32" t="n">
        <x:f>IF(OR(ISBLANK(H68),ISBLANK(J68)),"",H68-J68)</x:f>
        <x:v>741000</x:v>
      </x:c>
      <x:c r="L68" s="36" t="n">
        <x:f>IF(OR(ISBLANK(I68),ISBLANK(K68)),"",MAX(0,$B$2-I68))</x:f>
        <x:v>78</x:v>
      </x:c>
      <x:c r="M68" s="28" t="str">
        <x:f>IF(ISBLANK(H68),"Missing Demand",IF(K68&lt;=0,"Paid",IF(ISBLANK(I68),"Due Date Missing",IF(I68&gt;$B$2,"Not Due",IF(J68&gt;0,"Part Paid","Overdue")))))</x:f>
        <x:v>Part Paid</x:v>
      </x:c>
      <x:c r="N68" s="28" t="str">
        <x:v>Kunal Shah</x:v>
      </x:c>
      <x:c r="O68" s="28" t="str">
        <x:f>IF(OR(K68&gt;500000,L68&gt;30,ISBLANK(N68)),"Yes","No")</x:f>
        <x:v>Yes</x:v>
      </x:c>
      <x:c r="P68" s="28" t="str">
        <x:v>Milestone clarity required</x:v>
      </x:c>
      <x:c r="Q68" s="28" t="str">
        <x:v>Mitali Verma</x:v>
      </x:c>
    </x:row>
    <x:row r="69">
      <x:c r="A69" s="28" t="str">
        <x:v>Aster Grove Residences</x:v>
      </x:c>
      <x:c r="B69" s="28" t="str">
        <x:v>AGR-X9999</x:v>
      </x:c>
      <x:c r="C69" s="28" t="str">
        <x:v>88587455</x:v>
      </x:c>
      <x:c r="D69" s="28" t="str">
        <x:v>Kiara Batra</x:v>
      </x:c>
      <x:c r="E69" s="32" t="n">
        <x:v>12351000</x:v>
      </x:c>
      <x:c r="F69" s="28" t="str">
        <x:v>Agreement</x:v>
      </x:c>
      <x:c r="G69" s="34" t="n">
        <x:v>46219</x:v>
      </x:c>
      <x:c r="H69" s="32" t="n">
        <x:v>1235000</x:v>
      </x:c>
      <x:c r="I69" s="34" t="n">
        <x:v>46249</x:v>
      </x:c>
      <x:c r="J69" s="32" t="n">
        <x:v>247000</x:v>
      </x:c>
      <x:c r="K69" s="32" t="n">
        <x:f>IF(OR(ISBLANK(H69),ISBLANK(J69)),"",H69-J69)</x:f>
        <x:v>988000</x:v>
      </x:c>
      <x:c r="L69" s="36" t="n">
        <x:f>IF(OR(ISBLANK(I69),ISBLANK(K69)),"",MAX(0,$B$2-I69))</x:f>
        <x:v>0</x:v>
      </x:c>
      <x:c r="M69" s="28" t="str">
        <x:f>IF(ISBLANK(H69),"Missing Demand",IF(K69&lt;=0,"Paid",IF(ISBLANK(I69),"Due Date Missing",IF(I69&gt;$B$2,"Not Due",IF(J69&gt;0,"Part Paid","Overdue")))))</x:f>
        <x:v>Not Due</x:v>
      </x:c>
      <x:c r="N69" s="28" t="str">
        <x:v>Tanvi Rao</x:v>
      </x:c>
      <x:c r="O69" s="28" t="str">
        <x:f>IF(OR(K69&gt;500000,L69&gt;30,ISBLANK(N69)),"Yes","No")</x:f>
        <x:v>Yes</x:v>
      </x:c>
      <x:c r="P69" s="28" t="str">
        <x:v>No concern raised</x:v>
      </x:c>
      <x:c r="Q69" s="28" t="str">
        <x:v>Mitali Verma</x:v>
      </x:c>
    </x:row>
    <x:row r="70">
      <x:c r="A70" s="28" t="str">
        <x:v>Aster Grove Residences</x:v>
      </x:c>
      <x:c r="B70" s="28" t="str">
        <x:v>AGR-C2105</x:v>
      </x:c>
      <x:c r="C70" s="28" t="str">
        <x:v>88682789</x:v>
      </x:c>
      <x:c r="D70" s="28" t="str">
        <x:v>Nikhil Kapadia</x:v>
      </x:c>
      <x:c r="E70" s="32" t="n">
        <x:v>14882000</x:v>
      </x:c>
      <x:c r="F70" s="28" t="str">
        <x:v>Booking</x:v>
      </x:c>
      <x:c r="G70" s="34" t="n">
        <x:v>46130</x:v>
      </x:c>
      <x:c r="H70" s="32" t="n">
        <x:v>1488000</x:v>
      </x:c>
      <x:c r="I70" s="34" t="n">
        <x:v>46145</x:v>
      </x:c>
      <x:c r="J70" s="32" t="n">
        <x:v>1488000</x:v>
      </x:c>
      <x:c r="K70" s="32" t="n">
        <x:f>IF(OR(ISBLANK(H70),ISBLANK(J70)),"",H70-J70)</x:f>
        <x:v>0</x:v>
      </x:c>
      <x:c r="L70" s="36" t="n">
        <x:f>IF(OR(ISBLANK(I70),ISBLANK(K70)),"",MAX(0,$B$2-I70))</x:f>
        <x:v>89</x:v>
      </x:c>
      <x:c r="M70" s="28" t="str">
        <x:f>IF(ISBLANK(H70),"Missing Demand",IF(K70&lt;=0,"Paid",IF(ISBLANK(I70),"Due Date Missing",IF(I70&gt;$B$2,"Not Due",IF(J70&gt;0,"Part Paid","Overdue")))))</x:f>
        <x:v>Paid</x:v>
      </x:c>
      <x:c r="N70" s="28" t="str">
        <x:v>Meera Nair</x:v>
      </x:c>
      <x:c r="O70" s="28" t="str">
        <x:f>IF(OR(K70&gt;500000,L70&gt;30,ISBLANK(N70)),"Yes","No")</x:f>
        <x:v>Yes</x:v>
      </x:c>
      <x:c r="P70" s="28" t="str">
        <x:v>Milestone clarity required</x:v>
      </x:c>
      <x:c r="Q70" s="28"/>
    </x:row>
    <x:row r="71">
      <x:c r="A71" s="28" t="str">
        <x:v>Aster Grove Residences</x:v>
      </x:c>
      <x:c r="B71" s="28" t="str">
        <x:v>AGR-C2105</x:v>
      </x:c>
      <x:c r="C71" s="28" t="str">
        <x:v>88682789</x:v>
      </x:c>
      <x:c r="D71" s="28" t="str">
        <x:v>Nikhil Kapadia</x:v>
      </x:c>
      <x:c r="E71" s="32" t="n">
        <x:v>14882000</x:v>
      </x:c>
      <x:c r="F71" s="28" t="str">
        <x:v>Agreement</x:v>
      </x:c>
      <x:c r="G71" s="34" t="n">
        <x:v>46193</x:v>
      </x:c>
      <x:c r="H71" s="32" t="n">
        <x:v>1488000</x:v>
      </x:c>
      <x:c r="I71" s="34" t="n">
        <x:v>46214</x:v>
      </x:c>
      <x:c r="J71" s="32" t="n">
        <x:v>1488000</x:v>
      </x:c>
      <x:c r="K71" s="32" t="n">
        <x:f>IF(OR(ISBLANK(H71),ISBLANK(J71)),"",H71-J71)</x:f>
        <x:v>0</x:v>
      </x:c>
      <x:c r="L71" s="36" t="n">
        <x:f>IF(OR(ISBLANK(I71),ISBLANK(K71)),"",MAX(0,$B$2-I71))</x:f>
        <x:v>20</x:v>
      </x:c>
      <x:c r="M71" s="28" t="str">
        <x:f>IF(ISBLANK(H71),"Missing Demand",IF(K71&lt;=0,"Paid",IF(ISBLANK(I71),"Due Date Missing",IF(I71&gt;$B$2,"Not Due",IF(J71&gt;0,"Part Paid","Overdue")))))</x:f>
        <x:v>Paid</x:v>
      </x:c>
      <x:c r="N71" s="28" t="str">
        <x:v>Tanvi Rao</x:v>
      </x:c>
      <x:c r="O71" s="28" t="str">
        <x:f>IF(OR(K71&gt;500000,L71&gt;30,ISBLANK(N71)),"Yes","No")</x:f>
        <x:v>No</x:v>
      </x:c>
      <x:c r="P71" s="28" t="str">
        <x:v>Documentation pending</x:v>
      </x:c>
      <x:c r="Q71" s="28"/>
    </x:row>
    <x:row r="72">
      <x:c r="A72" s="28" t="str">
        <x:v>Aster Grove Residences</x:v>
      </x:c>
      <x:c r="B72" s="28" t="str">
        <x:v>AGR-C2105</x:v>
      </x:c>
      <x:c r="C72" s="28" t="str">
        <x:v>88682789</x:v>
      </x:c>
      <x:c r="D72" s="28" t="str">
        <x:v>Nikhil Kapadia</x:v>
      </x:c>
      <x:c r="E72" s="32" t="n">
        <x:v>14882000</x:v>
      </x:c>
      <x:c r="F72" s="28" t="str">
        <x:v>Excavation</x:v>
      </x:c>
      <x:c r="G72" s="34" t="n">
        <x:v>46263</x:v>
      </x:c>
      <x:c r="H72" s="32" t="n">
        <x:v>1488000</x:v>
      </x:c>
      <x:c r="I72" s="34" t="n">
        <x:v>46284</x:v>
      </x:c>
      <x:c r="J72" s="32" t="n">
        <x:v>0</x:v>
      </x:c>
      <x:c r="K72" s="32" t="n">
        <x:f>IF(OR(ISBLANK(H72),ISBLANK(J72)),"",H72-J72)</x:f>
        <x:v>1488000</x:v>
      </x:c>
      <x:c r="L72" s="36" t="n">
        <x:f>IF(OR(ISBLANK(I72),ISBLANK(K72)),"",MAX(0,$B$2-I72))</x:f>
        <x:v>0</x:v>
      </x:c>
      <x:c r="M72" s="28" t="str">
        <x:f>IF(ISBLANK(H72),"Missing Demand",IF(K72&lt;=0,"Paid",IF(ISBLANK(I72),"Due Date Missing",IF(I72&gt;$B$2,"Not Due",IF(J72&gt;0,"Part Paid","Overdue")))))</x:f>
        <x:v>Not Due</x:v>
      </x:c>
      <x:c r="N72" s="28" t="str">
        <x:v>Meera Nair</x:v>
      </x:c>
      <x:c r="O72" s="28" t="str">
        <x:f>IF(OR(K72&gt;500000,L72&gt;30,ISBLANK(N72)),"Yes","No")</x:f>
        <x:v>Yes</x:v>
      </x:c>
      <x:c r="P72" s="28" t="str">
        <x:v>Customer funding pending</x:v>
      </x:c>
      <x:c r="Q72" s="28"/>
    </x:row>
    <x:row r="73">
      <x:c r="A73" s="28" t="str">
        <x:v>Aster Grove Residences</x:v>
      </x:c>
      <x:c r="B73" s="28" t="str">
        <x:v>AGR-C1506</x:v>
      </x:c>
      <x:c r="C73" s="28" t="str">
        <x:v>88468900</x:v>
      </x:c>
      <x:c r="D73" s="28" t="str">
        <x:v>Rudra Suri</x:v>
      </x:c>
      <x:c r="E73" s="32" t="n">
        <x:v>17279000</x:v>
      </x:c>
      <x:c r="F73" s="28" t="str">
        <x:v>Booking</x:v>
      </x:c>
      <x:c r="G73" s="34" t="n">
        <x:v>46218</x:v>
      </x:c>
      <x:c r="H73" s="32" t="n">
        <x:v>1728000</x:v>
      </x:c>
      <x:c r="I73" s="34" t="n">
        <x:v>46239</x:v>
      </x:c>
      <x:c r="J73" s="32" t="n">
        <x:v>346000</x:v>
      </x:c>
      <x:c r="K73" s="32" t="n">
        <x:f>IF(OR(ISBLANK(H73),ISBLANK(J73)),"",H73-J73)</x:f>
        <x:v>1382000</x:v>
      </x:c>
      <x:c r="L73" s="36" t="n">
        <x:f>IF(OR(ISBLANK(I73),ISBLANK(K73)),"",MAX(0,$B$2-I73))</x:f>
        <x:v>0</x:v>
      </x:c>
      <x:c r="M73" s="28" t="str">
        <x:f>IF(ISBLANK(H73),"Missing Demand",IF(K73&lt;=0,"Paid",IF(ISBLANK(I73),"Due Date Missing",IF(I73&gt;$B$2,"Not Due",IF(J73&gt;0,"Part Paid","Overdue")))))</x:f>
        <x:v>Not Due</x:v>
      </x:c>
      <x:c r="N73" s="28" t="str">
        <x:v>Kunal Shah</x:v>
      </x:c>
      <x:c r="O73" s="28" t="str">
        <x:f>IF(OR(K73&gt;500000,L73&gt;30,ISBLANK(N73)),"Yes","No")</x:f>
        <x:v>Yes</x:v>
      </x:c>
      <x:c r="P73" s="28" t="str">
        <x:v>Milestone clarity required</x:v>
      </x:c>
      <x:c r="Q73" s="28" t="str">
        <x:v>Pranay Sood</x:v>
      </x:c>
    </x:row>
    <x:row r="74">
      <x:c r="A74" s="28" t="str">
        <x:v>Aster Grove Residences</x:v>
      </x:c>
      <x:c r="B74" s="28" t="str">
        <x:v>AGR-C1506</x:v>
      </x:c>
      <x:c r="C74" s="28" t="str">
        <x:v>88468900</x:v>
      </x:c>
      <x:c r="D74" s="28" t="str">
        <x:v>Rudra Suri</x:v>
      </x:c>
      <x:c r="E74" s="32" t="n">
        <x:v>17279000</x:v>
      </x:c>
      <x:c r="F74" s="28" t="str">
        <x:v>Agreement</x:v>
      </x:c>
      <x:c r="G74" s="34" t="n">
        <x:v>46136</x:v>
      </x:c>
      <x:c r="H74" s="32" t="n">
        <x:v>1728000</x:v>
      </x:c>
      <x:c r="I74" s="34" t="n">
        <x:v>46151</x:v>
      </x:c>
      <x:c r="J74" s="32" t="n">
        <x:v>0</x:v>
      </x:c>
      <x:c r="K74" s="32" t="n">
        <x:f>IF(OR(ISBLANK(H74),ISBLANK(J74)),"",H74-J74)</x:f>
        <x:v>1728000</x:v>
      </x:c>
      <x:c r="L74" s="36" t="n">
        <x:f>IF(OR(ISBLANK(I74),ISBLANK(K74)),"",MAX(0,$B$2-I74))</x:f>
        <x:v>83</x:v>
      </x:c>
      <x:c r="M74" s="28" t="str">
        <x:f>IF(ISBLANK(H74),"Missing Demand",IF(K74&lt;=0,"Paid",IF(ISBLANK(I74),"Due Date Missing",IF(I74&gt;$B$2,"Not Due",IF(J74&gt;0,"Part Paid","Overdue")))))</x:f>
        <x:v>Overdue</x:v>
      </x:c>
      <x:c r="N74" s="28" t="str">
        <x:v>Priya Menon</x:v>
      </x:c>
      <x:c r="O74" s="28" t="str">
        <x:f>IF(OR(K74&gt;500000,L74&gt;30,ISBLANK(N74)),"Yes","No")</x:f>
        <x:v>Yes</x:v>
      </x:c>
      <x:c r="P74" s="28" t="str">
        <x:v>Customer travel / unreachable</x:v>
      </x:c>
      <x:c r="Q74" s="28" t="str">
        <x:v>Pranay Sood</x:v>
      </x:c>
    </x:row>
    <x:row r="75">
      <x:c r="A75" s="28" t="str">
        <x:v>Aster Grove Residences</x:v>
      </x:c>
      <x:c r="B75" s="28" t="str">
        <x:v>AGR-C0906</x:v>
      </x:c>
      <x:c r="C75" s="28" t="str">
        <x:v>88288158</x:v>
      </x:c>
      <x:c r="D75" s="28" t="str">
        <x:v>Naina Kapoor</x:v>
      </x:c>
      <x:c r="E75" s="32" t="n">
        <x:v>10416000</x:v>
      </x:c>
      <x:c r="F75" s="28" t="str">
        <x:v>Booking</x:v>
      </x:c>
      <x:c r="G75" s="34" t="n">
        <x:v>46174</x:v>
      </x:c>
      <x:c r="H75" s="32" t="n">
        <x:v>1042000</x:v>
      </x:c>
      <x:c r="I75" s="34" t="n">
        <x:v>46195</x:v>
      </x:c>
      <x:c r="J75" s="32" t="n">
        <x:v>782000</x:v>
      </x:c>
      <x:c r="K75" s="32" t="n">
        <x:f>IF(OR(ISBLANK(H75),ISBLANK(J75)),"",H75-J75)</x:f>
        <x:v>260000</x:v>
      </x:c>
      <x:c r="L75" s="36" t="n">
        <x:f>IF(OR(ISBLANK(I75),ISBLANK(K75)),"",MAX(0,$B$2-I75))</x:f>
        <x:v>39</x:v>
      </x:c>
      <x:c r="M75" s="28" t="str">
        <x:f>IF(ISBLANK(H75),"Missing Demand",IF(K75&lt;=0,"Paid",IF(ISBLANK(I75),"Due Date Missing",IF(I75&gt;$B$2,"Not Due",IF(J75&gt;0,"Part Paid","Overdue")))))</x:f>
        <x:v>Part Paid</x:v>
      </x:c>
      <x:c r="N75" s="28" t="str">
        <x:v>Priya Menon</x:v>
      </x:c>
      <x:c r="O75" s="28" t="str">
        <x:f>IF(OR(K75&gt;500000,L75&gt;30,ISBLANK(N75)),"Yes","No")</x:f>
        <x:v>Yes</x:v>
      </x:c>
      <x:c r="P75" s="28" t="str">
        <x:v>Milestone clarity required</x:v>
      </x:c>
      <x:c r="Q75" s="28"/>
    </x:row>
    <x:row r="76">
      <x:c r="A76" s="28" t="str">
        <x:v>Aster Grove Residences</x:v>
      </x:c>
      <x:c r="B76" s="28" t="str">
        <x:v>AGR-D0502</x:v>
      </x:c>
      <x:c r="C76" s="28" t="str">
        <x:v>88520172</x:v>
      </x:c>
      <x:c r="D76" s="28" t="str">
        <x:v>Anika Balan</x:v>
      </x:c>
      <x:c r="E76" s="32" t="n">
        <x:v>13149000</x:v>
      </x:c>
      <x:c r="F76" s="28" t="str">
        <x:v>Booking</x:v>
      </x:c>
      <x:c r="G76" s="34" t="n">
        <x:v>46154</x:v>
      </x:c>
      <x:c r="H76" s="32" t="n">
        <x:v>1315000</x:v>
      </x:c>
      <x:c r="I76" s="34" t="n">
        <x:v>46175</x:v>
      </x:c>
      <x:c r="J76" s="32" t="n">
        <x:v>329000</x:v>
      </x:c>
      <x:c r="K76" s="32" t="n">
        <x:f>IF(OR(ISBLANK(H76),ISBLANK(J76)),"",H76-J76)</x:f>
        <x:v>986000</x:v>
      </x:c>
      <x:c r="L76" s="36" t="n">
        <x:f>IF(OR(ISBLANK(I76),ISBLANK(K76)),"",MAX(0,$B$2-I76))</x:f>
        <x:v>59</x:v>
      </x:c>
      <x:c r="M76" s="28" t="str">
        <x:f>IF(ISBLANK(H76),"Missing Demand",IF(K76&lt;=0,"Paid",IF(ISBLANK(I76),"Due Date Missing",IF(I76&gt;$B$2,"Not Due",IF(J76&gt;0,"Part Paid","Overdue")))))</x:f>
        <x:v>Part Paid</x:v>
      </x:c>
      <x:c r="N76" s="28" t="str">
        <x:v>Ankit Suri</x:v>
      </x:c>
      <x:c r="O76" s="28" t="str">
        <x:f>IF(OR(K76&gt;500000,L76&gt;30,ISBLANK(N76)),"Yes","No")</x:f>
        <x:v>Yes</x:v>
      </x:c>
      <x:c r="P76" s="28" t="str">
        <x:v>Milestone clarity required</x:v>
      </x:c>
      <x:c r="Q76" s="28" t="str">
        <x:v>Pranay Sood</x:v>
      </x:c>
    </x:row>
    <x:row r="77">
      <x:c r="A77" s="28" t="str">
        <x:v>Aster Grove Residences</x:v>
      </x:c>
      <x:c r="B77" s="28" t="str">
        <x:v>AGR-D0502</x:v>
      </x:c>
      <x:c r="C77" s="28" t="str">
        <x:v>88520172</x:v>
      </x:c>
      <x:c r="D77" s="28" t="str">
        <x:v>Anika Balan</x:v>
      </x:c>
      <x:c r="E77" s="32" t="n">
        <x:v>13149000</x:v>
      </x:c>
      <x:c r="F77" s="28" t="str">
        <x:v>Agreement</x:v>
      </x:c>
      <x:c r="G77" s="34" t="n">
        <x:v>46200</x:v>
      </x:c>
      <x:c r="H77" s="32" t="n">
        <x:v>1315000</x:v>
      </x:c>
      <x:c r="I77" s="34" t="n">
        <x:v>46221</x:v>
      </x:c>
      <x:c r="J77" s="32" t="n">
        <x:v>1315000</x:v>
      </x:c>
      <x:c r="K77" s="32" t="n">
        <x:f>IF(OR(ISBLANK(H77),ISBLANK(J77)),"",H77-J77)</x:f>
        <x:v>0</x:v>
      </x:c>
      <x:c r="L77" s="36" t="n">
        <x:f>IF(OR(ISBLANK(I77),ISBLANK(K77)),"",MAX(0,$B$2-I77))</x:f>
        <x:v>13</x:v>
      </x:c>
      <x:c r="M77" s="28" t="str">
        <x:f>IF(ISBLANK(H77),"Missing Demand",IF(K77&lt;=0,"Paid",IF(ISBLANK(I77),"Due Date Missing",IF(I77&gt;$B$2,"Not Due",IF(J77&gt;0,"Part Paid","Overdue")))))</x:f>
        <x:v>Paid</x:v>
      </x:c>
      <x:c r="N77" s="28" t="str">
        <x:v>Tanvi Rao</x:v>
      </x:c>
      <x:c r="O77" s="28" t="str">
        <x:f>IF(OR(K77&gt;500000,L77&gt;30,ISBLANK(N77)),"Yes","No")</x:f>
        <x:v>No</x:v>
      </x:c>
      <x:c r="P77" s="28" t="str">
        <x:v>Demand not acknowledged</x:v>
      </x:c>
      <x:c r="Q77" s="28" t="str">
        <x:v>Pranay Sood</x:v>
      </x:c>
    </x:row>
    <x:row r="78">
      <x:c r="A78" s="28" t="str">
        <x:v>Aster Grove Residences</x:v>
      </x:c>
      <x:c r="B78" s="28" t="str">
        <x:v>AGR-D1101</x:v>
      </x:c>
      <x:c r="C78" s="28" t="str">
        <x:v>88739244</x:v>
      </x:c>
      <x:c r="D78" s="28" t="str">
        <x:v>Sara Chopra</x:v>
      </x:c>
      <x:c r="E78" s="32" t="n">
        <x:v>14701000</x:v>
      </x:c>
      <x:c r="F78" s="28" t="str">
        <x:v>Booking</x:v>
      </x:c>
      <x:c r="G78" s="34" t="n">
        <x:v>46125</x:v>
      </x:c>
      <x:c r="H78" s="32" t="n">
        <x:v>1470000</x:v>
      </x:c>
      <x:c r="I78" s="34" t="n">
        <x:v>46155</x:v>
      </x:c>
      <x:c r="J78" s="32" t="n">
        <x:v>1470000</x:v>
      </x:c>
      <x:c r="K78" s="32" t="n">
        <x:f>IF(OR(ISBLANK(H78),ISBLANK(J78)),"",H78-J78)</x:f>
        <x:v>0</x:v>
      </x:c>
      <x:c r="L78" s="36" t="n">
        <x:f>IF(OR(ISBLANK(I78),ISBLANK(K78)),"",MAX(0,$B$2-I78))</x:f>
        <x:v>79</x:v>
      </x:c>
      <x:c r="M78" s="28" t="str">
        <x:f>IF(ISBLANK(H78),"Missing Demand",IF(K78&lt;=0,"Paid",IF(ISBLANK(I78),"Due Date Missing",IF(I78&gt;$B$2,"Not Due",IF(J78&gt;0,"Part Paid","Overdue")))))</x:f>
        <x:v>Paid</x:v>
      </x:c>
      <x:c r="N78" s="28" t="str">
        <x:v>Meera Nair</x:v>
      </x:c>
      <x:c r="O78" s="28" t="str">
        <x:f>IF(OR(K78&gt;500000,L78&gt;30,ISBLANK(N78)),"Yes","No")</x:f>
        <x:v>Yes</x:v>
      </x:c>
      <x:c r="P78" s="28" t="str">
        <x:v>Bank disbursement delayed</x:v>
      </x:c>
      <x:c r="Q78" s="28" t="str">
        <x:v>Sahil Bhatia</x:v>
      </x:c>
    </x:row>
    <x:row r="79">
      <x:c r="A79" s="28" t="str">
        <x:v>Aster Grove Residences</x:v>
      </x:c>
      <x:c r="B79" s="28" t="str">
        <x:v>AGR-D1101</x:v>
      </x:c>
      <x:c r="C79" s="28" t="str">
        <x:v>88739244</x:v>
      </x:c>
      <x:c r="D79" s="28" t="str">
        <x:v>Sara Chopra</x:v>
      </x:c>
      <x:c r="E79" s="32" t="n">
        <x:v>14701000</x:v>
      </x:c>
      <x:c r="F79" s="28" t="str">
        <x:v>Agreement</x:v>
      </x:c>
      <x:c r="G79" s="34" t="n">
        <x:v>46179</x:v>
      </x:c>
      <x:c r="H79" s="32" t="n">
        <x:v>1470000</x:v>
      </x:c>
      <x:c r="I79" s="34" t="n">
        <x:v>46200</x:v>
      </x:c>
      <x:c r="J79" s="32" t="n">
        <x:v>882000</x:v>
      </x:c>
      <x:c r="K79" s="32" t="n">
        <x:f>IF(OR(ISBLANK(H79),ISBLANK(J79)),"",H79-J79)</x:f>
        <x:v>588000</x:v>
      </x:c>
      <x:c r="L79" s="36" t="n">
        <x:f>IF(OR(ISBLANK(I79),ISBLANK(K79)),"",MAX(0,$B$2-I79))</x:f>
        <x:v>34</x:v>
      </x:c>
      <x:c r="M79" s="28" t="str">
        <x:f>IF(ISBLANK(H79),"Missing Demand",IF(K79&lt;=0,"Paid",IF(ISBLANK(I79),"Due Date Missing",IF(I79&gt;$B$2,"Not Due",IF(J79&gt;0,"Part Paid","Overdue")))))</x:f>
        <x:v>Part Paid</x:v>
      </x:c>
      <x:c r="N79" s="28" t="str">
        <x:v>Rohan Iyer</x:v>
      </x:c>
      <x:c r="O79" s="28" t="str">
        <x:f>IF(OR(K79&gt;500000,L79&gt;30,ISBLANK(N79)),"Yes","No")</x:f>
        <x:v>Yes</x:v>
      </x:c>
      <x:c r="P79" s="28" t="str">
        <x:v>Documentation pending</x:v>
      </x:c>
      <x:c r="Q79" s="28" t="str">
        <x:v>Sahil Bhatia</x:v>
      </x:c>
    </x:row>
    <x:row r="80">
      <x:c r="A80" s="28" t="str">
        <x:v>Aster Grove Residences</x:v>
      </x:c>
      <x:c r="B80" s="28" t="str">
        <x:v>AGR-D1101</x:v>
      </x:c>
      <x:c r="C80" s="28" t="str">
        <x:v>88739244</x:v>
      </x:c>
      <x:c r="D80" s="28" t="str">
        <x:v>Sara Chopra</x:v>
      </x:c>
      <x:c r="E80" s="32" t="n">
        <x:v>14701000</x:v>
      </x:c>
      <x:c r="F80" s="28" t="str">
        <x:v>Brickwork Completion</x:v>
      </x:c>
      <x:c r="G80" s="34" t="n">
        <x:v>46260</x:v>
      </x:c>
      <x:c r="H80" s="32" t="n">
        <x:v>2205000</x:v>
      </x:c>
      <x:c r="I80" s="34" t="n">
        <x:v>46281</x:v>
      </x:c>
      <x:c r="J80" s="32" t="n">
        <x:v>2205000</x:v>
      </x:c>
      <x:c r="K80" s="32" t="n">
        <x:f>IF(OR(ISBLANK(H80),ISBLANK(J80)),"",H80-J80)</x:f>
        <x:v>0</x:v>
      </x:c>
      <x:c r="L80" s="36" t="n">
        <x:f>IF(OR(ISBLANK(I80),ISBLANK(K80)),"",MAX(0,$B$2-I80))</x:f>
        <x:v>0</x:v>
      </x:c>
      <x:c r="M80" s="28" t="str">
        <x:f>IF(ISBLANK(H80),"Missing Demand",IF(K80&lt;=0,"Paid",IF(ISBLANK(I80),"Due Date Missing",IF(I80&gt;$B$2,"Not Due",IF(J80&gt;0,"Part Paid","Overdue")))))</x:f>
        <x:v>Paid</x:v>
      </x:c>
      <x:c r="N80" s="28" t="str">
        <x:v>Kunal Shah</x:v>
      </x:c>
      <x:c r="O80" s="28" t="str">
        <x:f>IF(OR(K80&gt;500000,L80&gt;30,ISBLANK(N80)),"Yes","No")</x:f>
        <x:v>No</x:v>
      </x:c>
      <x:c r="P80" s="28" t="str">
        <x:v>Customer funding pending</x:v>
      </x:c>
      <x:c r="Q80" s="28" t="str">
        <x:v>Sahil Bhatia</x:v>
      </x:c>
    </x:row>
    <x:row r="81">
      <x:c r="A81" s="28" t="str">
        <x:v>Aster Grove Residences</x:v>
      </x:c>
      <x:c r="B81" s="28" t="str">
        <x:v>AGR-D1101</x:v>
      </x:c>
      <x:c r="C81" s="28" t="str">
        <x:v>88739244</x:v>
      </x:c>
      <x:c r="D81" s="28" t="str">
        <x:v>Sara Chopra</x:v>
      </x:c>
      <x:c r="E81" s="32" t="n">
        <x:v>14701000</x:v>
      </x:c>
      <x:c r="F81" s="28" t="str">
        <x:v>Finishing Completion</x:v>
      </x:c>
      <x:c r="G81" s="34" t="n">
        <x:v>46293</x:v>
      </x:c>
      <x:c r="H81" s="32" t="n">
        <x:v>2940000</x:v>
      </x:c>
      <x:c r="I81" s="34" t="n">
        <x:v>46323</x:v>
      </x:c>
      <x:c r="J81" s="32" t="n">
        <x:v>0</x:v>
      </x:c>
      <x:c r="K81" s="32" t="n">
        <x:f>IF(OR(ISBLANK(H81),ISBLANK(J81)),"",H81-J81)</x:f>
        <x:v>2940000</x:v>
      </x:c>
      <x:c r="L81" s="36" t="n">
        <x:f>IF(OR(ISBLANK(I81),ISBLANK(K81)),"",MAX(0,$B$2-I81))</x:f>
        <x:v>0</x:v>
      </x:c>
      <x:c r="M81" s="28" t="str">
        <x:f>IF(ISBLANK(H81),"Missing Demand",IF(K81&lt;=0,"Paid",IF(ISBLANK(I81),"Due Date Missing",IF(I81&gt;$B$2,"Not Due",IF(J81&gt;0,"Part Paid","Overdue")))))</x:f>
        <x:v>Not Due</x:v>
      </x:c>
      <x:c r="N81" s="28" t="str">
        <x:v>Ankit Suri</x:v>
      </x:c>
      <x:c r="O81" s="28" t="str">
        <x:f>IF(OR(K81&gt;500000,L81&gt;30,ISBLANK(N81)),"Yes","No")</x:f>
        <x:v>Yes</x:v>
      </x:c>
      <x:c r="P81" s="28" t="str">
        <x:v>Demand not acknowledged</x:v>
      </x:c>
      <x:c r="Q81" s="28" t="str">
        <x:v>Sahil Bhatia</x:v>
      </x:c>
    </x:row>
    <x:row r="82">
      <x:c r="A82" s="28" t="str">
        <x:v>Aster Grove Residences</x:v>
      </x:c>
      <x:c r="B82" s="28" t="str">
        <x:v>AGR-D0404</x:v>
      </x:c>
      <x:c r="C82" s="28" t="str">
        <x:v>88377405</x:v>
      </x:c>
      <x:c r="D82" s="28" t="str">
        <x:v>Pihu Mehra</x:v>
      </x:c>
      <x:c r="E82" s="32" t="n">
        <x:v>13044000</x:v>
      </x:c>
      <x:c r="F82" s="28" t="str">
        <x:v>Booking</x:v>
      </x:c>
      <x:c r="G82" s="34" t="n">
        <x:v>46154</x:v>
      </x:c>
      <x:c r="H82" s="32" t="n">
        <x:v>1304000</x:v>
      </x:c>
      <x:c r="I82" s="34" t="n">
        <x:v>46175</x:v>
      </x:c>
      <x:c r="J82" s="32" t="n">
        <x:v>1304000</x:v>
      </x:c>
      <x:c r="K82" s="32" t="n">
        <x:f>IF(OR(ISBLANK(H82),ISBLANK(J82)),"",H82-J82)</x:f>
        <x:v>0</x:v>
      </x:c>
      <x:c r="L82" s="36" t="n">
        <x:f>IF(OR(ISBLANK(I82),ISBLANK(K82)),"",MAX(0,$B$2-I82))</x:f>
        <x:v>59</x:v>
      </x:c>
      <x:c r="M82" s="28" t="str">
        <x:f>IF(ISBLANK(H82),"Missing Demand",IF(K82&lt;=0,"Paid",IF(ISBLANK(I82),"Due Date Missing",IF(I82&gt;$B$2,"Not Due",IF(J82&gt;0,"Part Paid","Overdue")))))</x:f>
        <x:v>Paid</x:v>
      </x:c>
      <x:c r="N82" s="28" t="str">
        <x:v>Priya Menon</x:v>
      </x:c>
      <x:c r="O82" s="28" t="str">
        <x:f>IF(OR(K82&gt;500000,L82&gt;30,ISBLANK(N82)),"Yes","No")</x:f>
        <x:v>Yes</x:v>
      </x:c>
      <x:c r="P82" s="28" t="str">
        <x:v>Milestone clarity required</x:v>
      </x:c>
      <x:c r="Q82" s="28" t="str">
        <x:v>Harit Sen</x:v>
      </x:c>
    </x:row>
    <x:row r="83">
      <x:c r="A83" s="28" t="str">
        <x:v>Aster Grove Residences</x:v>
      </x:c>
      <x:c r="B83" s="28" t="str">
        <x:v>AGR-C1808</x:v>
      </x:c>
      <x:c r="C83" s="28" t="str">
        <x:v>88559023</x:v>
      </x:c>
      <x:c r="D83" s="28" t="str">
        <x:v>Ayan Walia</x:v>
      </x:c>
      <x:c r="E83" s="32" t="n">
        <x:v>18740000</x:v>
      </x:c>
      <x:c r="F83" s="28" t="str">
        <x:v>Booking</x:v>
      </x:c>
      <x:c r="G83" s="34" t="n">
        <x:v>46195</x:v>
      </x:c>
      <x:c r="H83" s="32" t="n">
        <x:v>1874000</x:v>
      </x:c>
      <x:c r="I83" s="34" t="n">
        <x:v>46216</x:v>
      </x:c>
      <x:c r="J83" s="32" t="n">
        <x:v>468000</x:v>
      </x:c>
      <x:c r="K83" s="32" t="n">
        <x:f>IF(OR(ISBLANK(H83),ISBLANK(J83)),"",H83-J83)</x:f>
        <x:v>1406000</x:v>
      </x:c>
      <x:c r="L83" s="36" t="n">
        <x:f>IF(OR(ISBLANK(I83),ISBLANK(K83)),"",MAX(0,$B$2-I83))</x:f>
        <x:v>18</x:v>
      </x:c>
      <x:c r="M83" s="28" t="str">
        <x:f>IF(ISBLANK(H83),"Missing Demand",IF(K83&lt;=0,"Paid",IF(ISBLANK(I83),"Due Date Missing",IF(I83&gt;$B$2,"Not Due",IF(J83&gt;0,"Part Paid","Overdue")))))</x:f>
        <x:v>Part Paid</x:v>
      </x:c>
      <x:c r="N83" s="28" t="str">
        <x:v>Kunal Shah</x:v>
      </x:c>
      <x:c r="O83" s="28" t="str">
        <x:f>IF(OR(K83&gt;500000,L83&gt;30,ISBLANK(N83)),"Yes","No")</x:f>
        <x:v>Yes</x:v>
      </x:c>
      <x:c r="P83" s="28" t="str">
        <x:v>Customer funding pending</x:v>
      </x:c>
      <x:c r="Q83" s="28"/>
    </x:row>
    <x:row r="84">
      <x:c r="A84" s="28" t="str">
        <x:v>Aster Grove Residences</x:v>
      </x:c>
      <x:c r="B84" s="28" t="str">
        <x:v>AGR-C1808</x:v>
      </x:c>
      <x:c r="C84" s="28" t="str">
        <x:v>88559023</x:v>
      </x:c>
      <x:c r="D84" s="28" t="str">
        <x:v>Ayan Walia</x:v>
      </x:c>
      <x:c r="E84" s="32" t="n">
        <x:v>18740000</x:v>
      </x:c>
      <x:c r="F84" s="28" t="str">
        <x:v>Agreement</x:v>
      </x:c>
      <x:c r="G84" s="34" t="n">
        <x:v>46241</x:v>
      </x:c>
      <x:c r="H84" s="32" t="n">
        <x:v>1874000</x:v>
      </x:c>
      <x:c r="I84" s="34" t="n">
        <x:v>46271</x:v>
      </x:c>
      <x:c r="J84" s="32" t="n">
        <x:v>0</x:v>
      </x:c>
      <x:c r="K84" s="32" t="n">
        <x:f>IF(OR(ISBLANK(H84),ISBLANK(J84)),"",H84-J84)</x:f>
        <x:v>1874000</x:v>
      </x:c>
      <x:c r="L84" s="36" t="n">
        <x:f>IF(OR(ISBLANK(I84),ISBLANK(K84)),"",MAX(0,$B$2-I84))</x:f>
        <x:v>0</x:v>
      </x:c>
      <x:c r="M84" s="28" t="str">
        <x:f>IF(ISBLANK(H84),"Missing Demand",IF(K84&lt;=0,"Paid",IF(ISBLANK(I84),"Due Date Missing",IF(I84&gt;$B$2,"Not Due",IF(J84&gt;0,"Part Paid","Overdue")))))</x:f>
        <x:v>Not Due</x:v>
      </x:c>
      <x:c r="N84" s="28" t="str">
        <x:v>Rohan Iyer</x:v>
      </x:c>
      <x:c r="O84" s="28" t="str">
        <x:f>IF(OR(K84&gt;500000,L84&gt;30,ISBLANK(N84)),"Yes","No")</x:f>
        <x:v>Yes</x:v>
      </x:c>
      <x:c r="P84" s="28" t="str">
        <x:v>Payment promised this week</x:v>
      </x:c>
      <x:c r="Q84" s="28"/>
    </x:row>
    <x:row r="85">
      <x:c r="A85" s="28" t="str">
        <x:v>Aster Grove Residences</x:v>
      </x:c>
      <x:c r="B85" s="28" t="str">
        <x:v>AGR-C1808</x:v>
      </x:c>
      <x:c r="C85" s="28" t="str">
        <x:v>88559023</x:v>
      </x:c>
      <x:c r="D85" s="28" t="str">
        <x:v>Ayan Walia</x:v>
      </x:c>
      <x:c r="E85" s="32" t="n">
        <x:v>18740000</x:v>
      </x:c>
      <x:c r="F85" s="28" t="str">
        <x:v>Brickwork Completion</x:v>
      </x:c>
      <x:c r="G85" s="34" t="n">
        <x:v>46200</x:v>
      </x:c>
      <x:c r="H85" s="32" t="n">
        <x:v>2811000</x:v>
      </x:c>
      <x:c r="I85" s="34" t="n">
        <x:v>46221</x:v>
      </x:c>
      <x:c r="J85" s="32" t="n">
        <x:v>2811000</x:v>
      </x:c>
      <x:c r="K85" s="32" t="n">
        <x:f>IF(OR(ISBLANK(H85),ISBLANK(J85)),"",H85-J85)</x:f>
        <x:v>0</x:v>
      </x:c>
      <x:c r="L85" s="36" t="n">
        <x:f>IF(OR(ISBLANK(I85),ISBLANK(K85)),"",MAX(0,$B$2-I85))</x:f>
        <x:v>13</x:v>
      </x:c>
      <x:c r="M85" s="28" t="str">
        <x:f>IF(ISBLANK(H85),"Missing Demand",IF(K85&lt;=0,"Paid",IF(ISBLANK(I85),"Due Date Missing",IF(I85&gt;$B$2,"Not Due",IF(J85&gt;0,"Part Paid","Overdue")))))</x:f>
        <x:v>Paid</x:v>
      </x:c>
      <x:c r="N85" s="28" t="str">
        <x:v>Ankit Suri</x:v>
      </x:c>
      <x:c r="O85" s="28" t="str">
        <x:f>IF(OR(K85&gt;500000,L85&gt;30,ISBLANK(N85)),"Yes","No")</x:f>
        <x:v>No</x:v>
      </x:c>
      <x:c r="P85" s="28" t="str">
        <x:v>Payment promised this week</x:v>
      </x:c>
      <x:c r="Q85" s="28"/>
    </x:row>
    <x:row r="86">
      <x:c r="A86" s="28" t="str">
        <x:v>Aster Grove Residences</x:v>
      </x:c>
      <x:c r="B86" s="28" t="str">
        <x:v>AGR-D2208</x:v>
      </x:c>
      <x:c r="C86" s="28" t="str">
        <x:v>88195674</x:v>
      </x:c>
      <x:c r="D86" s="28" t="str">
        <x:v>Anika Chawla</x:v>
      </x:c>
      <x:c r="E86" s="32" t="n">
        <x:v>11955000</x:v>
      </x:c>
      <x:c r="F86" s="28" t="str">
        <x:v>Booking</x:v>
      </x:c>
      <x:c r="G86" s="34" t="n">
        <x:v>46193</x:v>
      </x:c>
      <x:c r="H86" s="32" t="n">
        <x:v>1196000</x:v>
      </x:c>
      <x:c r="I86" s="34" t="n">
        <x:v>46214</x:v>
      </x:c>
      <x:c r="J86" s="32" t="n">
        <x:v>120000</x:v>
      </x:c>
      <x:c r="K86" s="32" t="n">
        <x:f>IF(OR(ISBLANK(H86),ISBLANK(J86)),"",H86-J86)</x:f>
        <x:v>1076000</x:v>
      </x:c>
      <x:c r="L86" s="36" t="n">
        <x:f>IF(OR(ISBLANK(I86),ISBLANK(K86)),"",MAX(0,$B$2-I86))</x:f>
        <x:v>20</x:v>
      </x:c>
      <x:c r="M86" s="28" t="str">
        <x:f>IF(ISBLANK(H86),"Missing Demand",IF(K86&lt;=0,"Paid",IF(ISBLANK(I86),"Due Date Missing",IF(I86&gt;$B$2,"Not Due",IF(J86&gt;0,"Part Paid","Overdue")))))</x:f>
        <x:v>Part Paid</x:v>
      </x:c>
      <x:c r="N86" s="28" t="str">
        <x:v>Ankit Suri</x:v>
      </x:c>
      <x:c r="O86" s="28" t="str">
        <x:f>IF(OR(K86&gt;500000,L86&gt;30,ISBLANK(N86)),"Yes","No")</x:f>
        <x:v>Yes</x:v>
      </x:c>
      <x:c r="P86" s="28" t="str">
        <x:v>Bank disbursement delayed</x:v>
      </x:c>
      <x:c r="Q86" s="28" t="str">
        <x:v>Nupur Arora</x:v>
      </x:c>
    </x:row>
    <x:row r="87">
      <x:c r="A87" s="28" t="str">
        <x:v>Aster Grove Residences</x:v>
      </x:c>
      <x:c r="B87" s="28" t="str">
        <x:v>AGR-D2208</x:v>
      </x:c>
      <x:c r="C87" s="28" t="str">
        <x:v>88195674</x:v>
      </x:c>
      <x:c r="D87" s="28" t="str">
        <x:v>Anika Chawla</x:v>
      </x:c>
      <x:c r="E87" s="32" t="n">
        <x:v>11955000</x:v>
      </x:c>
      <x:c r="F87" s="28" t="str">
        <x:v>Agreement</x:v>
      </x:c>
      <x:c r="G87" s="34" t="n">
        <x:v>46173</x:v>
      </x:c>
      <x:c r="H87" s="32" t="n">
        <x:v>1196000</x:v>
      </x:c>
      <x:c r="I87" s="34" t="n">
        <x:v>46203</x:v>
      </x:c>
      <x:c r="J87" s="32" t="n">
        <x:v>598000</x:v>
      </x:c>
      <x:c r="K87" s="32" t="n">
        <x:f>IF(OR(ISBLANK(H87),ISBLANK(J87)),"",H87-J87)</x:f>
        <x:v>598000</x:v>
      </x:c>
      <x:c r="L87" s="36" t="n">
        <x:f>IF(OR(ISBLANK(I87),ISBLANK(K87)),"",MAX(0,$B$2-I87))</x:f>
        <x:v>31</x:v>
      </x:c>
      <x:c r="M87" s="28" t="str">
        <x:f>IF(ISBLANK(H87),"Missing Demand",IF(K87&lt;=0,"Paid",IF(ISBLANK(I87),"Due Date Missing",IF(I87&gt;$B$2,"Not Due",IF(J87&gt;0,"Part Paid","Overdue")))))</x:f>
        <x:v>Part Paid</x:v>
      </x:c>
      <x:c r="N87" s="28" t="str">
        <x:v>Meera Nair</x:v>
      </x:c>
      <x:c r="O87" s="28" t="str">
        <x:f>IF(OR(K87&gt;500000,L87&gt;30,ISBLANK(N87)),"Yes","No")</x:f>
        <x:v>Yes</x:v>
      </x:c>
      <x:c r="P87" s="28" t="str">
        <x:v>Bank disbursement delayed</x:v>
      </x:c>
      <x:c r="Q87" s="28" t="str">
        <x:v>Nupur Arora</x:v>
      </x:c>
    </x:row>
    <x:row r="88">
      <x:c r="A88" s="28" t="str">
        <x:v>Aster Grove Residences</x:v>
      </x:c>
      <x:c r="B88" s="28" t="str">
        <x:v>AGR-D2208</x:v>
      </x:c>
      <x:c r="C88" s="28" t="str">
        <x:v>88195674</x:v>
      </x:c>
      <x:c r="D88" s="28" t="str">
        <x:v>Anika Chawla</x:v>
      </x:c>
      <x:c r="E88" s="32" t="n">
        <x:v>11955000</x:v>
      </x:c>
      <x:c r="F88" s="28" t="str">
        <x:v>Structure Completion</x:v>
      </x:c>
      <x:c r="G88" s="34" t="n">
        <x:v>46268</x:v>
      </x:c>
      <x:c r="H88" s="32" t="n">
        <x:v>2391000</x:v>
      </x:c>
      <x:c r="I88" s="34" t="n">
        <x:v>46283</x:v>
      </x:c>
      <x:c r="J88" s="32" t="n">
        <x:v>956000</x:v>
      </x:c>
      <x:c r="K88" s="32" t="n">
        <x:f>IF(OR(ISBLANK(H88),ISBLANK(J88)),"",H88-J88)</x:f>
        <x:v>1435000</x:v>
      </x:c>
      <x:c r="L88" s="36" t="n">
        <x:f>IF(OR(ISBLANK(I88),ISBLANK(K88)),"",MAX(0,$B$2-I88))</x:f>
        <x:v>0</x:v>
      </x:c>
      <x:c r="M88" s="28" t="str">
        <x:f>IF(ISBLANK(H88),"Missing Demand",IF(K88&lt;=0,"Paid",IF(ISBLANK(I88),"Due Date Missing",IF(I88&gt;$B$2,"Not Due",IF(J88&gt;0,"Part Paid","Overdue")))))</x:f>
        <x:v>Not Due</x:v>
      </x:c>
      <x:c r="N88" s="28" t="str">
        <x:v>Meera Nair</x:v>
      </x:c>
      <x:c r="O88" s="28" t="str">
        <x:f>IF(OR(K88&gt;500000,L88&gt;30,ISBLANK(N88)),"Yes","No")</x:f>
        <x:v>Yes</x:v>
      </x:c>
      <x:c r="P88" s="28" t="str">
        <x:v>Customer funding pending</x:v>
      </x:c>
      <x:c r="Q88" s="28" t="str">
        <x:v>Nupur Arora</x:v>
      </x:c>
    </x:row>
    <x:row r="89">
      <x:c r="A89" s="28" t="str">
        <x:v>Aster Grove Residences</x:v>
      </x:c>
      <x:c r="B89" s="28" t="str">
        <x:v>AGR-A2607</x:v>
      </x:c>
      <x:c r="C89" s="28" t="str">
        <x:v>88639593</x:v>
      </x:c>
      <x:c r="D89" s="28" t="str">
        <x:v>Yash Kapoor</x:v>
      </x:c>
      <x:c r="E89" s="32" t="n">
        <x:v>12861000</x:v>
      </x:c>
      <x:c r="F89" s="28" t="str">
        <x:v>Booking</x:v>
      </x:c>
      <x:c r="G89" s="34" t="n">
        <x:v>46165</x:v>
      </x:c>
      <x:c r="H89" s="32" t="n">
        <x:v>1286000</x:v>
      </x:c>
      <x:c r="I89" s="34" t="n">
        <x:v>46195</x:v>
      </x:c>
      <x:c r="J89" s="32" t="n">
        <x:v>129000</x:v>
      </x:c>
      <x:c r="K89" s="32" t="n">
        <x:f>IF(OR(ISBLANK(H89),ISBLANK(J89)),"",H89-J89)</x:f>
        <x:v>1157000</x:v>
      </x:c>
      <x:c r="L89" s="36" t="n">
        <x:f>IF(OR(ISBLANK(I89),ISBLANK(K89)),"",MAX(0,$B$2-I89))</x:f>
        <x:v>39</x:v>
      </x:c>
      <x:c r="M89" s="28" t="str">
        <x:f>IF(ISBLANK(H89),"Missing Demand",IF(K89&lt;=0,"Paid",IF(ISBLANK(I89),"Due Date Missing",IF(I89&gt;$B$2,"Not Due",IF(J89&gt;0,"Part Paid","Overdue")))))</x:f>
        <x:v>Part Paid</x:v>
      </x:c>
      <x:c r="N89" s="28" t="str">
        <x:v>Tanvi Rao</x:v>
      </x:c>
      <x:c r="O89" s="28" t="str">
        <x:f>IF(OR(K89&gt;500000,L89&gt;30,ISBLANK(N89)),"Yes","No")</x:f>
        <x:v>Yes</x:v>
      </x:c>
      <x:c r="P89" s="28" t="str">
        <x:v>Demand not acknowledged</x:v>
      </x:c>
      <x:c r="Q89" s="28"/>
    </x:row>
    <x:row r="90">
      <x:c r="A90" s="28" t="str">
        <x:v>Aster Grove Residences</x:v>
      </x:c>
      <x:c r="B90" s="28" t="str">
        <x:v>AGR-A2607</x:v>
      </x:c>
      <x:c r="C90" s="28" t="str">
        <x:v>88639593</x:v>
      </x:c>
      <x:c r="D90" s="28" t="str">
        <x:v>Yash Kapoor</x:v>
      </x:c>
      <x:c r="E90" s="32" t="n">
        <x:v>12861000</x:v>
      </x:c>
      <x:c r="F90" s="28" t="str">
        <x:v>Agreement</x:v>
      </x:c>
      <x:c r="G90" s="34" t="n">
        <x:v>46222</x:v>
      </x:c>
      <x:c r="H90" s="32" t="n">
        <x:v>1286000</x:v>
      </x:c>
      <x:c r="I90" s="34" t="n">
        <x:v>46237</x:v>
      </x:c>
      <x:c r="J90" s="32" t="n">
        <x:v>257000</x:v>
      </x:c>
      <x:c r="K90" s="32" t="n">
        <x:f>IF(OR(ISBLANK(H90),ISBLANK(J90)),"",H90-J90)</x:f>
        <x:v>1029000</x:v>
      </x:c>
      <x:c r="L90" s="36" t="n">
        <x:f>IF(OR(ISBLANK(I90),ISBLANK(K90)),"",MAX(0,$B$2-I90))</x:f>
        <x:v>0</x:v>
      </x:c>
      <x:c r="M90" s="28" t="str">
        <x:f>IF(ISBLANK(H90),"Missing Demand",IF(K90&lt;=0,"Paid",IF(ISBLANK(I90),"Due Date Missing",IF(I90&gt;$B$2,"Not Due",IF(J90&gt;0,"Part Paid","Overdue")))))</x:f>
        <x:v>Not Due</x:v>
      </x:c>
      <x:c r="N90" s="28" t="str">
        <x:v>Tanvi Rao</x:v>
      </x:c>
      <x:c r="O90" s="28" t="str">
        <x:f>IF(OR(K90&gt;500000,L90&gt;30,ISBLANK(N90)),"Yes","No")</x:f>
        <x:v>Yes</x:v>
      </x:c>
      <x:c r="P90" s="28" t="str">
        <x:v>Bank disbursement delayed</x:v>
      </x:c>
      <x:c r="Q90" s="28"/>
    </x:row>
    <x:row r="91">
      <x:c r="A91" s="28" t="str">
        <x:v>Aster Grove Residences</x:v>
      </x:c>
      <x:c r="B91" s="28" t="str">
        <x:v>AGR-B2403</x:v>
      </x:c>
      <x:c r="C91" s="28" t="str">
        <x:v>88425845</x:v>
      </x:c>
      <x:c r="D91" s="28" t="str">
        <x:v>Aisha Kapoor</x:v>
      </x:c>
      <x:c r="E91" s="32" t="n">
        <x:v>6980000</x:v>
      </x:c>
      <x:c r="F91" s="28" t="str">
        <x:v>Booking</x:v>
      </x:c>
      <x:c r="G91" s="34" t="n">
        <x:v>46144</x:v>
      </x:c>
      <x:c r="H91" s="32" t="n">
        <x:v>698000</x:v>
      </x:c>
      <x:c r="I91" s="34" t="n">
        <x:v>46174</x:v>
      </x:c>
      <x:c r="J91" s="32" t="n">
        <x:v>698000</x:v>
      </x:c>
      <x:c r="K91" s="32" t="n">
        <x:f>IF(OR(ISBLANK(H91),ISBLANK(J91)),"",H91-J91)</x:f>
        <x:v>0</x:v>
      </x:c>
      <x:c r="L91" s="36" t="n">
        <x:f>IF(OR(ISBLANK(I91),ISBLANK(K91)),"",MAX(0,$B$2-I91))</x:f>
        <x:v>60</x:v>
      </x:c>
      <x:c r="M91" s="28" t="str">
        <x:f>IF(ISBLANK(H91),"Missing Demand",IF(K91&lt;=0,"Paid",IF(ISBLANK(I91),"Due Date Missing",IF(I91&gt;$B$2,"Not Due",IF(J91&gt;0,"Part Paid","Overdue")))))</x:f>
        <x:v>Paid</x:v>
      </x:c>
      <x:c r="N91" s="28" t="str">
        <x:v>Ankit Suri</x:v>
      </x:c>
      <x:c r="O91" s="28" t="str">
        <x:f>IF(OR(K91&gt;500000,L91&gt;30,ISBLANK(N91)),"Yes","No")</x:f>
        <x:v>Yes</x:v>
      </x:c>
      <x:c r="P91" s="28" t="str">
        <x:v>Payment promised this week</x:v>
      </x:c>
      <x:c r="Q91" s="28" t="str">
        <x:v>Nupur Arora</x:v>
      </x:c>
    </x:row>
    <x:row r="92">
      <x:c r="A92" s="28" t="str">
        <x:v>Aster Grove Residences</x:v>
      </x:c>
      <x:c r="B92" s="28" t="str">
        <x:v>AGR-B2403</x:v>
      </x:c>
      <x:c r="C92" s="28" t="str">
        <x:v>88425845</x:v>
      </x:c>
      <x:c r="D92" s="28" t="str">
        <x:v>Aisha Kapoor</x:v>
      </x:c>
      <x:c r="E92" s="32" t="n">
        <x:v>6980000</x:v>
      </x:c>
      <x:c r="F92" s="28" t="str">
        <x:v>Agreement</x:v>
      </x:c>
      <x:c r="G92" s="34" t="n">
        <x:v>46169</x:v>
      </x:c>
      <x:c r="H92" s="32" t="n">
        <x:v>698000</x:v>
      </x:c>
      <x:c r="I92" s="34" t="n">
        <x:v>46184</x:v>
      </x:c>
      <x:c r="J92" s="32" t="n">
        <x:v>279000</x:v>
      </x:c>
      <x:c r="K92" s="32" t="n">
        <x:f>IF(OR(ISBLANK(H92),ISBLANK(J92)),"",H92-J92)</x:f>
        <x:v>419000</x:v>
      </x:c>
      <x:c r="L92" s="36" t="n">
        <x:f>IF(OR(ISBLANK(I92),ISBLANK(K92)),"",MAX(0,$B$2-I92))</x:f>
        <x:v>50</x:v>
      </x:c>
      <x:c r="M92" s="28" t="str">
        <x:f>IF(ISBLANK(H92),"Missing Demand",IF(K92&lt;=0,"Paid",IF(ISBLANK(I92),"Due Date Missing",IF(I92&gt;$B$2,"Not Due",IF(J92&gt;0,"Part Paid","Overdue")))))</x:f>
        <x:v>Part Paid</x:v>
      </x:c>
      <x:c r="N92" s="28" t="str">
        <x:v>Rohan Iyer</x:v>
      </x:c>
      <x:c r="O92" s="28" t="str">
        <x:f>IF(OR(K92&gt;500000,L92&gt;30,ISBLANK(N92)),"Yes","No")</x:f>
        <x:v>Yes</x:v>
      </x:c>
      <x:c r="P92" s="28" t="str">
        <x:v>Demand not acknowledged</x:v>
      </x:c>
      <x:c r="Q92" s="28" t="str">
        <x:v>Nupur Arora</x:v>
      </x:c>
    </x:row>
    <x:row r="93">
      <x:c r="A93" s="28" t="str">
        <x:v>Aster Grove Residences</x:v>
      </x:c>
      <x:c r="B93" s="28" t="str">
        <x:v>AGR-B1404</x:v>
      </x:c>
      <x:c r="C93" s="28" t="str">
        <x:v>88728492</x:v>
      </x:c>
      <x:c r="D93" s="28" t="str">
        <x:v>Reyansh Ghosh</x:v>
      </x:c>
      <x:c r="E93" s="32" t="n">
        <x:v>19402000</x:v>
      </x:c>
      <x:c r="F93" s="28" t="str">
        <x:v>Booking</x:v>
      </x:c>
      <x:c r="G93" s="34" t="n">
        <x:v>46122</x:v>
      </x:c>
      <x:c r="H93" s="32" t="n">
        <x:v>1940000</x:v>
      </x:c>
      <x:c r="I93" s="34" t="n">
        <x:v>46143</x:v>
      </x:c>
      <x:c r="J93" s="32" t="n">
        <x:v>970000</x:v>
      </x:c>
      <x:c r="K93" s="32" t="n">
        <x:f>IF(OR(ISBLANK(H93),ISBLANK(J93)),"",H93-J93)</x:f>
        <x:v>970000</x:v>
      </x:c>
      <x:c r="L93" s="36" t="n">
        <x:f>IF(OR(ISBLANK(I93),ISBLANK(K93)),"",MAX(0,$B$2-I93))</x:f>
        <x:v>91</x:v>
      </x:c>
      <x:c r="M93" s="28" t="str">
        <x:f>IF(ISBLANK(H93),"Missing Demand",IF(K93&lt;=0,"Paid",IF(ISBLANK(I93),"Due Date Missing",IF(I93&gt;$B$2,"Not Due",IF(J93&gt;0,"Part Paid","Overdue")))))</x:f>
        <x:v>Part Paid</x:v>
      </x:c>
      <x:c r="N93" s="28" t="str">
        <x:v>Rohan Iyer</x:v>
      </x:c>
      <x:c r="O93" s="28" t="str">
        <x:f>IF(OR(K93&gt;500000,L93&gt;30,ISBLANK(N93)),"Yes","No")</x:f>
        <x:v>Yes</x:v>
      </x:c>
      <x:c r="P93" s="28" t="str">
        <x:v>No concern raised</x:v>
      </x:c>
      <x:c r="Q93" s="28" t="str">
        <x:v>Sahil Bhatia</x:v>
      </x:c>
    </x:row>
    <x:row r="94">
      <x:c r="A94" s="28" t="str">
        <x:v>Aster Grove Residences</x:v>
      </x:c>
      <x:c r="B94" s="28" t="str">
        <x:v>AGR-B1404</x:v>
      </x:c>
      <x:c r="C94" s="28" t="str">
        <x:v>88728492</x:v>
      </x:c>
      <x:c r="D94" s="28" t="str">
        <x:v>Reyansh Ghosh</x:v>
      </x:c>
      <x:c r="E94" s="32" t="n">
        <x:v>19402000</x:v>
      </x:c>
      <x:c r="F94" s="28" t="str">
        <x:v>Agreement</x:v>
      </x:c>
      <x:c r="G94" s="34" t="n">
        <x:v>46127</x:v>
      </x:c>
      <x:c r="H94" s="32" t="n">
        <x:v>1940000</x:v>
      </x:c>
      <x:c r="I94" s="34" t="n">
        <x:v>46148</x:v>
      </x:c>
      <x:c r="J94" s="32" t="n">
        <x:v>1940000</x:v>
      </x:c>
      <x:c r="K94" s="32" t="n">
        <x:f>IF(OR(ISBLANK(H94),ISBLANK(J94)),"",H94-J94)</x:f>
        <x:v>0</x:v>
      </x:c>
      <x:c r="L94" s="36" t="n">
        <x:f>IF(OR(ISBLANK(I94),ISBLANK(K94)),"",MAX(0,$B$2-I94))</x:f>
        <x:v>86</x:v>
      </x:c>
      <x:c r="M94" s="28" t="str">
        <x:f>IF(ISBLANK(H94),"Missing Demand",IF(K94&lt;=0,"Paid",IF(ISBLANK(I94),"Due Date Missing",IF(I94&gt;$B$2,"Not Due",IF(J94&gt;0,"Part Paid","Overdue")))))</x:f>
        <x:v>Paid</x:v>
      </x:c>
      <x:c r="N94" s="28" t="str">
        <x:v>Ankit Suri</x:v>
      </x:c>
      <x:c r="O94" s="28" t="str">
        <x:f>IF(OR(K94&gt;500000,L94&gt;30,ISBLANK(N94)),"Yes","No")</x:f>
        <x:v>Yes</x:v>
      </x:c>
      <x:c r="P94" s="28" t="str">
        <x:v>Milestone clarity required</x:v>
      </x:c>
      <x:c r="Q94" s="28" t="str">
        <x:v>Sahil Bhatia</x:v>
      </x:c>
    </x:row>
    <x:row r="95">
      <x:c r="A95" s="28" t="str">
        <x:v>Aster Grove Residences</x:v>
      </x:c>
      <x:c r="B95" s="28" t="str">
        <x:v>AGR-D1606</x:v>
      </x:c>
      <x:c r="C95" s="28" t="str">
        <x:v>88297816</x:v>
      </x:c>
      <x:c r="D95" s="28" t="str">
        <x:v>Rudra Gill</x:v>
      </x:c>
      <x:c r="E95" s="32" t="n">
        <x:v>15295000</x:v>
      </x:c>
      <x:c r="F95" s="28" t="str">
        <x:v>Booking</x:v>
      </x:c>
      <x:c r="G95" s="34" t="n">
        <x:v>46183</x:v>
      </x:c>
      <x:c r="H95" s="32" t="n">
        <x:v>1530000</x:v>
      </x:c>
      <x:c r="I95" s="34" t="n">
        <x:v>46213</x:v>
      </x:c>
      <x:c r="J95" s="32" t="n">
        <x:v>382000</x:v>
      </x:c>
      <x:c r="K95" s="32" t="n">
        <x:f>IF(OR(ISBLANK(H95),ISBLANK(J95)),"",H95-J95)</x:f>
        <x:v>1148000</x:v>
      </x:c>
      <x:c r="L95" s="36" t="n">
        <x:f>IF(OR(ISBLANK(I95),ISBLANK(K95)),"",MAX(0,$B$2-I95))</x:f>
        <x:v>21</x:v>
      </x:c>
      <x:c r="M95" s="28" t="str">
        <x:f>IF(ISBLANK(H95),"Missing Demand",IF(K95&lt;=0,"Paid",IF(ISBLANK(I95),"Due Date Missing",IF(I95&gt;$B$2,"Not Due",IF(J95&gt;0,"Part Paid","Overdue")))))</x:f>
        <x:v>Part Paid</x:v>
      </x:c>
      <x:c r="N95" s="28" t="str">
        <x:v>Priya Menon</x:v>
      </x:c>
      <x:c r="O95" s="28" t="str">
        <x:f>IF(OR(K95&gt;500000,L95&gt;30,ISBLANK(N95)),"Yes","No")</x:f>
        <x:v>Yes</x:v>
      </x:c>
      <x:c r="P95" s="28" t="str">
        <x:v>Milestone clarity required</x:v>
      </x:c>
      <x:c r="Q95" s="28"/>
    </x:row>
    <x:row r="96">
      <x:c r="A96" s="28" t="str">
        <x:v>Aster Grove Residences</x:v>
      </x:c>
      <x:c r="B96" s="28" t="str">
        <x:v>AGR-D1606</x:v>
      </x:c>
      <x:c r="C96" s="28" t="str">
        <x:v>88297816</x:v>
      </x:c>
      <x:c r="D96" s="28" t="str">
        <x:v>Rudra Gill</x:v>
      </x:c>
      <x:c r="E96" s="32" t="n">
        <x:v>15295000</x:v>
      </x:c>
      <x:c r="F96" s="28" t="str">
        <x:v>Brickwork Completion</x:v>
      </x:c>
      <x:c r="G96" s="34" t="n">
        <x:v>46235</x:v>
      </x:c>
      <x:c r="H96" s="32" t="n">
        <x:v>2294000</x:v>
      </x:c>
      <x:c r="I96" s="34" t="n">
        <x:v>46265</x:v>
      </x:c>
      <x:c r="J96" s="32" t="n">
        <x:v>229000</x:v>
      </x:c>
      <x:c r="K96" s="32" t="n">
        <x:f>IF(OR(ISBLANK(H96),ISBLANK(J96)),"",H96-J96)</x:f>
        <x:v>2065000</x:v>
      </x:c>
      <x:c r="L96" s="36" t="n">
        <x:f>IF(OR(ISBLANK(I96),ISBLANK(K96)),"",MAX(0,$B$2-I96))</x:f>
        <x:v>0</x:v>
      </x:c>
      <x:c r="M96" s="28" t="str">
        <x:f>IF(ISBLANK(H96),"Missing Demand",IF(K96&lt;=0,"Paid",IF(ISBLANK(I96),"Due Date Missing",IF(I96&gt;$B$2,"Not Due",IF(J96&gt;0,"Part Paid","Overdue")))))</x:f>
        <x:v>Not Due</x:v>
      </x:c>
      <x:c r="N96" s="28" t="str">
        <x:v>Meera Nair</x:v>
      </x:c>
      <x:c r="O96" s="28" t="str">
        <x:f>IF(OR(K96&gt;500000,L96&gt;30,ISBLANK(N96)),"Yes","No")</x:f>
        <x:v>Yes</x:v>
      </x:c>
      <x:c r="P96" s="28" t="str">
        <x:v>Bank disbursement delayed</x:v>
      </x:c>
      <x:c r="Q96" s="28"/>
    </x:row>
    <x:row r="97">
      <x:c r="A97" s="28" t="str">
        <x:v>Aster Grove Residences</x:v>
      </x:c>
      <x:c r="B97" s="28" t="str">
        <x:v>AGR-B2205</x:v>
      </x:c>
      <x:c r="C97" s="28" t="str">
        <x:v>88338536</x:v>
      </x:c>
      <x:c r="D97" s="28" t="str">
        <x:v>Sara Balan</x:v>
      </x:c>
      <x:c r="E97" s="32" t="n">
        <x:v>7327000</x:v>
      </x:c>
      <x:c r="F97" s="28" t="str">
        <x:v>Booking</x:v>
      </x:c>
      <x:c r="G97" s="34" t="n">
        <x:v>46155</x:v>
      </x:c>
      <x:c r="H97" s="32" t="n">
        <x:v>733000</x:v>
      </x:c>
      <x:c r="I97" s="34" t="n">
        <x:v>46176</x:v>
      </x:c>
      <x:c r="J97" s="32" t="n">
        <x:v>733000</x:v>
      </x:c>
      <x:c r="K97" s="32" t="n">
        <x:f>IF(OR(ISBLANK(H97),ISBLANK(J97)),"",H97-J97)</x:f>
        <x:v>0</x:v>
      </x:c>
      <x:c r="L97" s="36" t="n">
        <x:f>IF(OR(ISBLANK(I97),ISBLANK(K97)),"",MAX(0,$B$2-I97))</x:f>
        <x:v>58</x:v>
      </x:c>
      <x:c r="M97" s="28" t="str">
        <x:f>IF(ISBLANK(H97),"Missing Demand",IF(K97&lt;=0,"Paid",IF(ISBLANK(I97),"Due Date Missing",IF(I97&gt;$B$2,"Not Due",IF(J97&gt;0,"Part Paid","Overdue")))))</x:f>
        <x:v>Paid</x:v>
      </x:c>
      <x:c r="N97" s="28" t="str">
        <x:v>Ankit Suri</x:v>
      </x:c>
      <x:c r="O97" s="28" t="str">
        <x:f>IF(OR(K97&gt;500000,L97&gt;30,ISBLANK(N97)),"Yes","No")</x:f>
        <x:v>Yes</x:v>
      </x:c>
      <x:c r="P97" s="28" t="str">
        <x:v>Customer travel / unreachable</x:v>
      </x:c>
      <x:c r="Q97" s="28" t="str">
        <x:v>Pranay Sood</x:v>
      </x:c>
    </x:row>
    <x:row r="98">
      <x:c r="A98" s="28" t="str">
        <x:v>Aster Grove Residences</x:v>
      </x:c>
      <x:c r="B98" s="28" t="str">
        <x:v>AGR-B2205</x:v>
      </x:c>
      <x:c r="C98" s="28" t="str">
        <x:v>88338536</x:v>
      </x:c>
      <x:c r="D98" s="28" t="str">
        <x:v>Sara Balan</x:v>
      </x:c>
      <x:c r="E98" s="32" t="n">
        <x:v>7327000</x:v>
      </x:c>
      <x:c r="F98" s="28" t="str">
        <x:v>Agreement</x:v>
      </x:c>
      <x:c r="G98" s="34" t="n">
        <x:v>46181</x:v>
      </x:c>
      <x:c r="H98" s="32" t="n">
        <x:v>733000</x:v>
      </x:c>
      <x:c r="I98" s="34" t="n">
        <x:v>46202</x:v>
      </x:c>
      <x:c r="J98" s="32" t="n">
        <x:v>73000</x:v>
      </x:c>
      <x:c r="K98" s="32" t="n">
        <x:f>IF(OR(ISBLANK(H98),ISBLANK(J98)),"",H98-J98)</x:f>
        <x:v>660000</x:v>
      </x:c>
      <x:c r="L98" s="36" t="n">
        <x:f>IF(OR(ISBLANK(I98),ISBLANK(K98)),"",MAX(0,$B$2-I98))</x:f>
        <x:v>32</x:v>
      </x:c>
      <x:c r="M98" s="28" t="str">
        <x:f>IF(ISBLANK(H98),"Missing Demand",IF(K98&lt;=0,"Paid",IF(ISBLANK(I98),"Due Date Missing",IF(I98&gt;$B$2,"Not Due",IF(J98&gt;0,"Part Paid","Overdue")))))</x:f>
        <x:v>Part Paid</x:v>
      </x:c>
      <x:c r="N98" s="28" t="str">
        <x:v>Ankit Suri</x:v>
      </x:c>
      <x:c r="O98" s="28" t="str">
        <x:f>IF(OR(K98&gt;500000,L98&gt;30,ISBLANK(N98)),"Yes","No")</x:f>
        <x:v>Yes</x:v>
      </x:c>
      <x:c r="P98" s="28" t="str">
        <x:v>Demand not acknowledged</x:v>
      </x:c>
      <x:c r="Q98" s="28" t="str">
        <x:v>Pranay Sood</x:v>
      </x:c>
    </x:row>
    <x:row r="99">
      <x:c r="A99" s="28" t="str">
        <x:v>Aster Grove Residences</x:v>
      </x:c>
      <x:c r="B99" s="28" t="str">
        <x:v>AGR-B2205</x:v>
      </x:c>
      <x:c r="C99" s="28" t="str">
        <x:v>88338536</x:v>
      </x:c>
      <x:c r="D99" s="28" t="str">
        <x:v>Sara Balan</x:v>
      </x:c>
      <x:c r="E99" s="32" t="n">
        <x:v>7327000</x:v>
      </x:c>
      <x:c r="F99" s="28" t="str">
        <x:v>Structure Completion</x:v>
      </x:c>
      <x:c r="G99" s="34" t="n">
        <x:v>46199</x:v>
      </x:c>
      <x:c r="H99" s="32" t="n">
        <x:v>1465000</x:v>
      </x:c>
      <x:c r="I99" s="34" t="n">
        <x:v>46229</x:v>
      </x:c>
      <x:c r="J99" s="32" t="n">
        <x:v>0</x:v>
      </x:c>
      <x:c r="K99" s="32" t="n">
        <x:f>IF(OR(ISBLANK(H99),ISBLANK(J99)),"",H99-J99)</x:f>
        <x:v>1465000</x:v>
      </x:c>
      <x:c r="L99" s="36" t="n">
        <x:f>IF(OR(ISBLANK(I99),ISBLANK(K99)),"",MAX(0,$B$2-I99))</x:f>
        <x:v>5</x:v>
      </x:c>
      <x:c r="M99" s="28" t="str">
        <x:f>IF(ISBLANK(H99),"Missing Demand",IF(K99&lt;=0,"Paid",IF(ISBLANK(I99),"Due Date Missing",IF(I99&gt;$B$2,"Not Due",IF(J99&gt;0,"Part Paid","Overdue")))))</x:f>
        <x:v>Overdue</x:v>
      </x:c>
      <x:c r="N99" s="28" t="str">
        <x:v>Meera Nair</x:v>
      </x:c>
      <x:c r="O99" s="28" t="str">
        <x:f>IF(OR(K99&gt;500000,L99&gt;30,ISBLANK(N99)),"Yes","No")</x:f>
        <x:v>Yes</x:v>
      </x:c>
      <x:c r="P99" s="28" t="str">
        <x:v>Payment promised this week</x:v>
      </x:c>
      <x:c r="Q99" s="28" t="str">
        <x:v>Pranay Sood</x:v>
      </x:c>
    </x:row>
    <x:row r="100">
      <x:c r="A100" s="28" t="str">
        <x:v>Aster Grove Residences</x:v>
      </x:c>
      <x:c r="B100" s="28" t="str">
        <x:v>AGR-A2107</x:v>
      </x:c>
      <x:c r="C100" s="28" t="str">
        <x:v>88749813</x:v>
      </x:c>
      <x:c r="D100" s="28" t="str">
        <x:v>Misha Gill</x:v>
      </x:c>
      <x:c r="E100" s="32" t="n">
        <x:v>0</x:v>
      </x:c>
      <x:c r="F100" s="28" t="str">
        <x:v>Booking</x:v>
      </x:c>
      <x:c r="G100" s="34" t="n">
        <x:v>46175</x:v>
      </x:c>
      <x:c r="H100" s="32" t="n">
        <x:v>0</x:v>
      </x:c>
      <x:c r="I100" s="34" t="n">
        <x:v>46196</x:v>
      </x:c>
      <x:c r="J100" s="32" t="n">
        <x:v>0</x:v>
      </x:c>
      <x:c r="K100" s="32" t="n">
        <x:f>IF(OR(ISBLANK(H100),ISBLANK(J100)),"",H100-J100)</x:f>
        <x:v>0</x:v>
      </x:c>
      <x:c r="L100" s="36" t="n">
        <x:f>IF(OR(ISBLANK(I100),ISBLANK(K100)),"",MAX(0,$B$2-I100))</x:f>
        <x:v>38</x:v>
      </x:c>
      <x:c r="M100" s="28" t="str">
        <x:f>IF(ISBLANK(H100),"Missing Demand",IF(K100&lt;=0,"Paid",IF(ISBLANK(I100),"Due Date Missing",IF(I100&gt;$B$2,"Not Due",IF(J100&gt;0,"Part Paid","Overdue")))))</x:f>
        <x:v>Paid</x:v>
      </x:c>
      <x:c r="N100" s="28" t="str">
        <x:v>Ankit Suri</x:v>
      </x:c>
      <x:c r="O100" s="28" t="str">
        <x:f>IF(OR(K100&gt;500000,L100&gt;30,ISBLANK(N100)),"Yes","No")</x:f>
        <x:v>Yes</x:v>
      </x:c>
      <x:c r="P100" s="28" t="str">
        <x:v>Documentation pending</x:v>
      </x:c>
      <x:c r="Q100" s="28" t="str">
        <x:v>Harit Sen</x:v>
      </x:c>
    </x:row>
    <x:row r="101">
      <x:c r="A101" s="28" t="str">
        <x:v>Aster Grove Residences</x:v>
      </x:c>
      <x:c r="B101" s="28" t="str">
        <x:v>AGR-A2107</x:v>
      </x:c>
      <x:c r="C101" s="28" t="str">
        <x:v>88749813</x:v>
      </x:c>
      <x:c r="D101" s="28" t="str">
        <x:v>Misha Gill</x:v>
      </x:c>
      <x:c r="E101" s="32" t="n">
        <x:v>0</x:v>
      </x:c>
      <x:c r="F101" s="28" t="str">
        <x:v>Agreement</x:v>
      </x:c>
      <x:c r="G101" s="34" t="n">
        <x:v>46171</x:v>
      </x:c>
      <x:c r="H101" s="32" t="n">
        <x:v>0</x:v>
      </x:c>
      <x:c r="I101" s="34" t="n">
        <x:v>46192</x:v>
      </x:c>
      <x:c r="J101" s="32" t="n">
        <x:v>0</x:v>
      </x:c>
      <x:c r="K101" s="32" t="n">
        <x:f>IF(OR(ISBLANK(H101),ISBLANK(J101)),"",H101-J101)</x:f>
        <x:v>0</x:v>
      </x:c>
      <x:c r="L101" s="36" t="n">
        <x:f>IF(OR(ISBLANK(I101),ISBLANK(K101)),"",MAX(0,$B$2-I101))</x:f>
        <x:v>42</x:v>
      </x:c>
      <x:c r="M101" s="28" t="str">
        <x:f>IF(ISBLANK(H101),"Missing Demand",IF(K101&lt;=0,"Paid",IF(ISBLANK(I101),"Due Date Missing",IF(I101&gt;$B$2,"Not Due",IF(J101&gt;0,"Part Paid","Overdue")))))</x:f>
        <x:v>Paid</x:v>
      </x:c>
      <x:c r="N101" s="28" t="str">
        <x:v>Priya Menon</x:v>
      </x:c>
      <x:c r="O101" s="28" t="str">
        <x:f>IF(OR(K101&gt;500000,L101&gt;30,ISBLANK(N101)),"Yes","No")</x:f>
        <x:v>Yes</x:v>
      </x:c>
      <x:c r="P101" s="28" t="str">
        <x:v>No concern raised</x:v>
      </x:c>
      <x:c r="Q101" s="28" t="str">
        <x:v>Harit Sen</x:v>
      </x:c>
    </x:row>
    <x:row r="102">
      <x:c r="A102" s="28" t="str">
        <x:v>Aster Grove Residences</x:v>
      </x:c>
      <x:c r="B102" s="28" t="str">
        <x:v>AGR-A2107</x:v>
      </x:c>
      <x:c r="C102" s="28" t="str">
        <x:v>88749813</x:v>
      </x:c>
      <x:c r="D102" s="28" t="str">
        <x:v>Misha Gill</x:v>
      </x:c>
      <x:c r="E102" s="32" t="n">
        <x:v>0</x:v>
      </x:c>
      <x:c r="F102" s="28" t="str">
        <x:v>Excavation</x:v>
      </x:c>
      <x:c r="G102" s="34" t="n">
        <x:v>46229</x:v>
      </x:c>
      <x:c r="H102" s="32" t="n">
        <x:v>0</x:v>
      </x:c>
      <x:c r="I102" s="34" t="n">
        <x:v>46259</x:v>
      </x:c>
      <x:c r="J102" s="32" t="n">
        <x:v>0</x:v>
      </x:c>
      <x:c r="K102" s="32" t="n">
        <x:f>IF(OR(ISBLANK(H102),ISBLANK(J102)),"",H102-J102)</x:f>
        <x:v>0</x:v>
      </x:c>
      <x:c r="L102" s="36" t="n">
        <x:f>IF(OR(ISBLANK(I102),ISBLANK(K102)),"",MAX(0,$B$2-I102))</x:f>
        <x:v>0</x:v>
      </x:c>
      <x:c r="M102" s="28" t="str">
        <x:f>IF(ISBLANK(H102),"Missing Demand",IF(K102&lt;=0,"Paid",IF(ISBLANK(I102),"Due Date Missing",IF(I102&gt;$B$2,"Not Due",IF(J102&gt;0,"Part Paid","Overdue")))))</x:f>
        <x:v>Paid</x:v>
      </x:c>
      <x:c r="N102" s="28" t="str">
        <x:v>Priya Menon</x:v>
      </x:c>
      <x:c r="O102" s="28" t="str">
        <x:f>IF(OR(K102&gt;500000,L102&gt;30,ISBLANK(N102)),"Yes","No")</x:f>
        <x:v>No</x:v>
      </x:c>
      <x:c r="P102" s="28" t="str">
        <x:v>Demand not acknowledged</x:v>
      </x:c>
      <x:c r="Q102" s="28" t="str">
        <x:v>Harit Sen</x:v>
      </x:c>
    </x:row>
    <x:row r="103">
      <x:c r="A103" s="28" t="str">
        <x:v>Aster Grove Residences</x:v>
      </x:c>
      <x:c r="B103" s="28" t="str">
        <x:v>AGR-D1104</x:v>
      </x:c>
      <x:c r="C103" s="28" t="str">
        <x:v>88503380</x:v>
      </x:c>
      <x:c r="D103" s="28" t="str">
        <x:v>Avni Mathur</x:v>
      </x:c>
      <x:c r="E103" s="32" t="n">
        <x:v>14432000</x:v>
      </x:c>
      <x:c r="F103" s="28" t="str">
        <x:v>Booking</x:v>
      </x:c>
      <x:c r="G103" s="34" t="n">
        <x:v>46145</x:v>
      </x:c>
      <x:c r="H103" s="32" t="n">
        <x:v>1443000</x:v>
      </x:c>
      <x:c r="I103" s="34" t="n">
        <x:v>46175</x:v>
      </x:c>
      <x:c r="J103" s="32" t="n">
        <x:v>577000</x:v>
      </x:c>
      <x:c r="K103" s="32" t="n">
        <x:f>IF(OR(ISBLANK(H103),ISBLANK(J103)),"",H103-J103)</x:f>
        <x:v>866000</x:v>
      </x:c>
      <x:c r="L103" s="36" t="n">
        <x:f>IF(OR(ISBLANK(I103),ISBLANK(K103)),"",MAX(0,$B$2-I103))</x:f>
        <x:v>59</x:v>
      </x:c>
      <x:c r="M103" s="28" t="str">
        <x:f>IF(ISBLANK(H103),"Missing Demand",IF(K103&lt;=0,"Paid",IF(ISBLANK(I103),"Due Date Missing",IF(I103&gt;$B$2,"Not Due",IF(J103&gt;0,"Part Paid","Overdue")))))</x:f>
        <x:v>Part Paid</x:v>
      </x:c>
      <x:c r="N103" s="28" t="str">
        <x:v>Meera Nair</x:v>
      </x:c>
      <x:c r="O103" s="28" t="str">
        <x:f>IF(OR(K103&gt;500000,L103&gt;30,ISBLANK(N103)),"Yes","No")</x:f>
        <x:v>Yes</x:v>
      </x:c>
      <x:c r="P103" s="28" t="str">
        <x:v>Documentation pending</x:v>
      </x:c>
      <x:c r="Q103" s="28" t="str">
        <x:v>Harit Sen</x:v>
      </x:c>
    </x:row>
    <x:row r="104">
      <x:c r="A104" s="28" t="str">
        <x:v>Aster Grove Residences</x:v>
      </x:c>
      <x:c r="B104" s="28" t="str">
        <x:v>AGR-D1104</x:v>
      </x:c>
      <x:c r="C104" s="28" t="str">
        <x:v>88503380</x:v>
      </x:c>
      <x:c r="D104" s="28" t="str">
        <x:v>Avni Mathur</x:v>
      </x:c>
      <x:c r="E104" s="32" t="n">
        <x:v>14432000</x:v>
      </x:c>
      <x:c r="F104" s="28" t="str">
        <x:v>Agreement</x:v>
      </x:c>
      <x:c r="G104" s="34" t="n">
        <x:v>46222</x:v>
      </x:c>
      <x:c r="H104" s="32" t="n">
        <x:v>1443000</x:v>
      </x:c>
      <x:c r="I104" s="34" t="n">
        <x:v>46243</x:v>
      </x:c>
      <x:c r="J104" s="32" t="n">
        <x:v>1082000</x:v>
      </x:c>
      <x:c r="K104" s="32" t="n">
        <x:f>IF(OR(ISBLANK(H104),ISBLANK(J104)),"",H104-J104)</x:f>
        <x:v>361000</x:v>
      </x:c>
      <x:c r="L104" s="36" t="n">
        <x:f>IF(OR(ISBLANK(I104),ISBLANK(K104)),"",MAX(0,$B$2-I104))</x:f>
        <x:v>0</x:v>
      </x:c>
      <x:c r="M104" s="28" t="str">
        <x:f>IF(ISBLANK(H104),"Missing Demand",IF(K104&lt;=0,"Paid",IF(ISBLANK(I104),"Due Date Missing",IF(I104&gt;$B$2,"Not Due",IF(J104&gt;0,"Part Paid","Overdue")))))</x:f>
        <x:v>Not Due</x:v>
      </x:c>
      <x:c r="N104" s="28" t="str">
        <x:v>Kunal Shah</x:v>
      </x:c>
      <x:c r="O104" s="28" t="str">
        <x:f>IF(OR(K104&gt;500000,L104&gt;30,ISBLANK(N104)),"Yes","No")</x:f>
        <x:v>No</x:v>
      </x:c>
      <x:c r="P104" s="28" t="str">
        <x:v>Demand not acknowledged</x:v>
      </x:c>
      <x:c r="Q104" s="28" t="str">
        <x:v>Harit Sen</x:v>
      </x:c>
    </x:row>
    <x:row r="105">
      <x:c r="A105" s="28" t="str">
        <x:v>Aster Grove Residences</x:v>
      </x:c>
      <x:c r="B105" s="28" t="str">
        <x:v>AGR-D1104</x:v>
      </x:c>
      <x:c r="C105" s="28" t="str">
        <x:v>88503380</x:v>
      </x:c>
      <x:c r="D105" s="28" t="str">
        <x:v>Avni Mathur</x:v>
      </x:c>
      <x:c r="E105" s="32" t="n">
        <x:v>14432000</x:v>
      </x:c>
      <x:c r="F105" s="28" t="str">
        <x:v>Excavation</x:v>
      </x:c>
      <x:c r="G105" s="34" t="n">
        <x:v>46193</x:v>
      </x:c>
      <x:c r="H105" s="32" t="n">
        <x:v>1443000</x:v>
      </x:c>
      <x:c r="I105" s="34" t="n">
        <x:v>46208</x:v>
      </x:c>
      <x:c r="J105" s="32" t="n">
        <x:v>1443000</x:v>
      </x:c>
      <x:c r="K105" s="32" t="n">
        <x:f>IF(OR(ISBLANK(H105),ISBLANK(J105)),"",H105-J105)</x:f>
        <x:v>0</x:v>
      </x:c>
      <x:c r="L105" s="36" t="n">
        <x:f>IF(OR(ISBLANK(I105),ISBLANK(K105)),"",MAX(0,$B$2-I105))</x:f>
        <x:v>26</x:v>
      </x:c>
      <x:c r="M105" s="28" t="str">
        <x:f>IF(ISBLANK(H105),"Missing Demand",IF(K105&lt;=0,"Paid",IF(ISBLANK(I105),"Due Date Missing",IF(I105&gt;$B$2,"Not Due",IF(J105&gt;0,"Part Paid","Overdue")))))</x:f>
        <x:v>Paid</x:v>
      </x:c>
      <x:c r="N105" s="28" t="str">
        <x:v>Ankit Suri</x:v>
      </x:c>
      <x:c r="O105" s="28" t="str">
        <x:f>IF(OR(K105&gt;500000,L105&gt;30,ISBLANK(N105)),"Yes","No")</x:f>
        <x:v>No</x:v>
      </x:c>
      <x:c r="P105" s="28" t="str">
        <x:v>Customer travel / unreachable</x:v>
      </x:c>
      <x:c r="Q105" s="28" t="str">
        <x:v>Harit Sen</x:v>
      </x:c>
    </x:row>
    <x:row r="106">
      <x:c r="A106" s="28" t="str">
        <x:v>Aster Grove Residences</x:v>
      </x:c>
      <x:c r="B106" s="28" t="str">
        <x:v>AGR-D1104</x:v>
      </x:c>
      <x:c r="C106" s="28" t="str">
        <x:v>88503380</x:v>
      </x:c>
      <x:c r="D106" s="28" t="str">
        <x:v>Avni Mathur</x:v>
      </x:c>
      <x:c r="E106" s="32" t="n">
        <x:v>14432000</x:v>
      </x:c>
      <x:c r="F106" s="28" t="str">
        <x:v>Finishing Completion</x:v>
      </x:c>
      <x:c r="G106" s="34" t="n">
        <x:v>46166</x:v>
      </x:c>
      <x:c r="H106" s="32" t="n">
        <x:v>2886000</x:v>
      </x:c>
      <x:c r="I106" s="34" t="n">
        <x:v>46196</x:v>
      </x:c>
      <x:c r="J106" s="32" t="n">
        <x:v>1443000</x:v>
      </x:c>
      <x:c r="K106" s="32" t="n">
        <x:f>IF(OR(ISBLANK(H106),ISBLANK(J106)),"",H106-J106)</x:f>
        <x:v>1443000</x:v>
      </x:c>
      <x:c r="L106" s="36" t="n">
        <x:f>IF(OR(ISBLANK(I106),ISBLANK(K106)),"",MAX(0,$B$2-I106))</x:f>
        <x:v>38</x:v>
      </x:c>
      <x:c r="M106" s="28" t="str">
        <x:f>IF(ISBLANK(H106),"Missing Demand",IF(K106&lt;=0,"Paid",IF(ISBLANK(I106),"Due Date Missing",IF(I106&gt;$B$2,"Not Due",IF(J106&gt;0,"Part Paid","Overdue")))))</x:f>
        <x:v>Part Paid</x:v>
      </x:c>
      <x:c r="N106" s="28" t="str">
        <x:v>Rohan Iyer</x:v>
      </x:c>
      <x:c r="O106" s="28" t="str">
        <x:f>IF(OR(K106&gt;500000,L106&gt;30,ISBLANK(N106)),"Yes","No")</x:f>
        <x:v>Yes</x:v>
      </x:c>
      <x:c r="P106" s="28" t="str">
        <x:v>Customer funding pending</x:v>
      </x:c>
      <x:c r="Q106" s="28" t="str">
        <x:v>Harit Sen</x:v>
      </x:c>
    </x:row>
    <x:row r="107">
      <x:c r="A107" s="28" t="str">
        <x:v>Aster Grove Residences</x:v>
      </x:c>
      <x:c r="B107" s="28" t="str">
        <x:v>AGR-C0904</x:v>
      </x:c>
      <x:c r="C107" s="28" t="str">
        <x:v>88751051</x:v>
      </x:c>
      <x:c r="D107" s="28" t="str">
        <x:v>Dev Menon</x:v>
      </x:c>
      <x:c r="E107" s="32" t="n">
        <x:v>11897000</x:v>
      </x:c>
      <x:c r="F107" s="28" t="str">
        <x:v>Booking</x:v>
      </x:c>
      <x:c r="G107" s="34" t="n">
        <x:v>46121</x:v>
      </x:c>
      <x:c r="H107" s="32" t="n">
        <x:v>1190000</x:v>
      </x:c>
      <x:c r="I107" s="34" t="n">
        <x:v>46151</x:v>
      </x:c>
      <x:c r="J107" s="32" t="n">
        <x:v>1190000</x:v>
      </x:c>
      <x:c r="K107" s="32" t="n">
        <x:f>IF(OR(ISBLANK(H107),ISBLANK(J107)),"",H107-J107)</x:f>
        <x:v>0</x:v>
      </x:c>
      <x:c r="L107" s="36" t="n">
        <x:f>IF(OR(ISBLANK(I107),ISBLANK(K107)),"",MAX(0,$B$2-I107))</x:f>
        <x:v>83</x:v>
      </x:c>
      <x:c r="M107" s="28" t="str">
        <x:f>IF(ISBLANK(H107),"Missing Demand",IF(K107&lt;=0,"Paid",IF(ISBLANK(I107),"Due Date Missing",IF(I107&gt;$B$2,"Not Due",IF(J107&gt;0,"Part Paid","Overdue")))))</x:f>
        <x:v>Paid</x:v>
      </x:c>
      <x:c r="N107" s="28" t="str">
        <x:v>Priya Menon</x:v>
      </x:c>
      <x:c r="O107" s="28" t="str">
        <x:f>IF(OR(K107&gt;500000,L107&gt;30,ISBLANK(N107)),"Yes","No")</x:f>
        <x:v>Yes</x:v>
      </x:c>
      <x:c r="P107" s="28" t="str">
        <x:v>Milestone clarity required</x:v>
      </x:c>
      <x:c r="Q107" s="28" t="str">
        <x:v>Pranay Sood</x:v>
      </x:c>
    </x:row>
    <x:row r="108">
      <x:c r="A108" s="28" t="str">
        <x:v>Aster Grove Residences</x:v>
      </x:c>
      <x:c r="B108" s="28" t="str">
        <x:v>AGR-C0904</x:v>
      </x:c>
      <x:c r="C108" s="28" t="str">
        <x:v>88751051</x:v>
      </x:c>
      <x:c r="D108" s="28" t="str">
        <x:v>Dev Menon</x:v>
      </x:c>
      <x:c r="E108" s="32" t="n">
        <x:v>11897000</x:v>
      </x:c>
      <x:c r="F108" s="28" t="str">
        <x:v>Agreement</x:v>
      </x:c>
      <x:c r="G108" s="34" t="n">
        <x:v>46161</x:v>
      </x:c>
      <x:c r="H108" s="32" t="n">
        <x:v>1190000</x:v>
      </x:c>
      <x:c r="I108" s="34" t="n">
        <x:v>46176</x:v>
      </x:c>
      <x:c r="J108" s="32" t="n">
        <x:v>1190000</x:v>
      </x:c>
      <x:c r="K108" s="32" t="n">
        <x:f>IF(OR(ISBLANK(H108),ISBLANK(J108)),"",H108-J108)</x:f>
        <x:v>0</x:v>
      </x:c>
      <x:c r="L108" s="36" t="n">
        <x:f>IF(OR(ISBLANK(I108),ISBLANK(K108)),"",MAX(0,$B$2-I108))</x:f>
        <x:v>58</x:v>
      </x:c>
      <x:c r="M108" s="28" t="str">
        <x:f>IF(ISBLANK(H108),"Missing Demand",IF(K108&lt;=0,"Paid",IF(ISBLANK(I108),"Due Date Missing",IF(I108&gt;$B$2,"Not Due",IF(J108&gt;0,"Part Paid","Overdue")))))</x:f>
        <x:v>Paid</x:v>
      </x:c>
      <x:c r="N108" s="28" t="str">
        <x:v>Priya Menon</x:v>
      </x:c>
      <x:c r="O108" s="28" t="str">
        <x:f>IF(OR(K108&gt;500000,L108&gt;30,ISBLANK(N108)),"Yes","No")</x:f>
        <x:v>Yes</x:v>
      </x:c>
      <x:c r="P108" s="28" t="str">
        <x:v>Bank disbursement delayed</x:v>
      </x:c>
      <x:c r="Q108" s="28" t="str">
        <x:v>Pranay Sood</x:v>
      </x:c>
    </x:row>
    <x:row r="109">
      <x:c r="A109" s="28" t="str">
        <x:v>Aster Grove Residences</x:v>
      </x:c>
      <x:c r="B109" s="28" t="str">
        <x:v>AGR-C0904</x:v>
      </x:c>
      <x:c r="C109" s="28" t="str">
        <x:v>88751051</x:v>
      </x:c>
      <x:c r="D109" s="28" t="str">
        <x:v>Dev Menon</x:v>
      </x:c>
      <x:c r="E109" s="32" t="n">
        <x:v>11897000</x:v>
      </x:c>
      <x:c r="F109" s="28" t="str">
        <x:v>Possession</x:v>
      </x:c>
      <x:c r="G109" s="34" t="n">
        <x:v>46237</x:v>
      </x:c>
      <x:c r="H109" s="32" t="n">
        <x:v>1785000</x:v>
      </x:c>
      <x:c r="I109" s="34" t="n">
        <x:v>46258</x:v>
      </x:c>
      <x:c r="J109" s="32" t="n">
        <x:v>357000</x:v>
      </x:c>
      <x:c r="K109" s="32" t="n">
        <x:f>IF(OR(ISBLANK(H109),ISBLANK(J109)),"",H109-J109)</x:f>
        <x:v>1428000</x:v>
      </x:c>
      <x:c r="L109" s="36" t="n">
        <x:f>IF(OR(ISBLANK(I109),ISBLANK(K109)),"",MAX(0,$B$2-I109))</x:f>
        <x:v>0</x:v>
      </x:c>
      <x:c r="M109" s="28" t="str">
        <x:f>IF(ISBLANK(H109),"Missing Demand",IF(K109&lt;=0,"Paid",IF(ISBLANK(I109),"Due Date Missing",IF(I109&gt;$B$2,"Not Due",IF(J109&gt;0,"Part Paid","Overdue")))))</x:f>
        <x:v>Not Due</x:v>
      </x:c>
      <x:c r="N109" s="28" t="str">
        <x:v>Tanvi Rao</x:v>
      </x:c>
      <x:c r="O109" s="28" t="str">
        <x:f>IF(OR(K109&gt;500000,L109&gt;30,ISBLANK(N109)),"Yes","No")</x:f>
        <x:v>Yes</x:v>
      </x:c>
      <x:c r="P109" s="28" t="str">
        <x:v>Customer funding pending</x:v>
      </x:c>
      <x:c r="Q109" s="28" t="str">
        <x:v>Pranay Sood</x:v>
      </x:c>
    </x:row>
  </x:sheetData>
  <x:mergeCells>
    <x:mergeCell ref="A1:Q1"/>
  </x:mergeCells>
  <x:conditionalFormatting sqref="M5:M109">
    <x:cfRule type="expression" dxfId="0" priority="1">
      <x:formula>M5="Overdue"</x:formula>
    </x:cfRule>
    <x:cfRule type="expression" dxfId="1" priority="2">
      <x:formula>M5="Part Paid"</x:formula>
    </x:cfRule>
  </x:conditionalFormatting>
  <x:conditionalFormatting sqref="O5:O109">
    <x:cfRule type="expression" dxfId="2" priority="3">
      <x:formula>O5="Yes"</x:formula>
    </x:cfRule>
  </x:conditionalFormatting>
  <x:dataValidations count="2">
    <x:dataValidation type="list" sqref="F5:F109">
      <x:formula1>Lookup!$A$2:$A$8</x:formula1>
    </x:dataValidation>
    <x:dataValidation type="list" sqref="N5:N109">
      <x:formula1>Lookup!$E$2:$E$7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24b55cb7f7645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95" hidden="0" customWidth="1"/>
  </x:cols>
  <x:sheetData>
    <x:row r="1">
      <x:c r="A1" s="3" t="str">
        <x:v>README - Collections Tracker</x:v>
      </x:c>
    </x:row>
    <x:row r="3">
      <x:c r="A3" s="38" t="str">
        <x:v>Purpose</x:v>
      </x:c>
      <x:c r="B3" s="26" t="str">
        <x:v>Dummy collections input file for the AI Site Performance &amp; Cash Flow assignment.</x:v>
      </x:c>
    </x:row>
    <x:row r="4">
      <x:c r="A4" s="38" t="str">
        <x:v>Data status</x:v>
      </x:c>
      <x:c r="B4" s="26" t="str">
        <x:v>All customer names, codes, projects, values and dates are fictional and sanitized.</x:v>
      </x:c>
    </x:row>
    <x:row r="5">
      <x:c r="A5" s="38" t="str">
        <x:v>As-of date</x:v>
      </x:c>
      <x:c r="B5" s="26" t="str">
        <x:v>31-Jul-2026. Days overdue and status formulas use this date.</x:v>
      </x:c>
    </x:row>
    <x:row r="6">
      <x:c r="A6" s="38" t="str">
        <x:v>Link to Sales</x:v>
      </x:c>
      <x:c r="B6" s="26" t="str">
        <x:v>Unit Number + SAP Customer Code + Customer Name should be used to reconcile with Sales Dump.</x:v>
      </x:c>
    </x:row>
    <x:row r="7">
      <x:c r="A7" s="38" t="str">
        <x:v>Link to Construction</x:v>
      </x:c>
      <x:c r="B7" s="26" t="str">
        <x:v>Milestone Linked should be mapped to construction milestones where applicable.</x:v>
      </x:c>
    </x:row>
    <x:row r="8">
      <x:c r="A8" s="38" t="str">
        <x:v>Intentional issue 1</x:v>
      </x:c>
      <x:c r="B8" s="26" t="str">
        <x:v>Some unit / customer / SAP code values are mismatched versus Sales.</x:v>
      </x:c>
    </x:row>
    <x:row r="9">
      <x:c r="A9" s="38" t="str">
        <x:v>Intentional issue 2</x:v>
      </x:c>
      <x:c r="B9" s="26" t="str">
        <x:v>Some records have missing milestones, due dates or collection owners.</x:v>
      </x:c>
    </x:row>
    <x:row r="10">
      <x:c r="A10" s="38" t="str">
        <x:v>Intentional issue 3</x:v>
      </x:c>
      <x:c r="B10" s="26" t="str">
        <x:v>Some overdue amounts should create escalation and cash-flow risk.</x:v>
      </x:c>
    </x:row>
    <x:row r="11">
      <x:c r="A11" s="38" t="str">
        <x:v>Expected use</x:v>
      </x:c>
      <x:c r="B11" s="26" t="str">
        <x:v>Candidate solution should detect gaps, compute collections inflow, overdue exposure and owner-wise actions.</x:v>
      </x:c>
    </x:row>
    <x:row r="12">
      <x:c r="A12" s="38" t="str">
        <x:v>Do not assume</x:v>
      </x:c>
      <x:c r="B12" s="26" t="str">
        <x:v>Do not silently ignore missing/conflicting rows; report them in Missing Inputs / Clarification Required.</x:v>
      </x:c>
    </x:row>
    <x:row r="13">
      <x:c r="A13" s="38" t="str">
        <x:v>Currency</x:v>
      </x:c>
      <x:c r="B13" s="26" t="str">
        <x:v>INR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9" t="str">
        <x:v>Milestones</x:v>
      </x:c>
      <x:c r="B1" s="19"/>
      <x:c r="C1" s="19" t="str">
        <x:v>Collection Status</x:v>
      </x:c>
      <x:c r="D1" s="19"/>
      <x:c r="E1" s="19" t="str">
        <x:v>Owners</x:v>
      </x:c>
    </x:row>
    <x:row r="2">
      <x:c r="A2" t="str">
        <x:v>Booking</x:v>
      </x:c>
      <x:c r="C2" t="str">
        <x:v>Paid</x:v>
      </x:c>
      <x:c r="E2" t="str">
        <x:v>Rohan Iyer</x:v>
      </x:c>
    </x:row>
    <x:row r="3">
      <x:c r="A3" t="str">
        <x:v>Agreement</x:v>
      </x:c>
      <x:c r="C3" t="str">
        <x:v>Part Paid</x:v>
      </x:c>
      <x:c r="E3" t="str">
        <x:v>Meera Nair</x:v>
      </x:c>
    </x:row>
    <x:row r="4">
      <x:c r="A4" t="str">
        <x:v>Excavation</x:v>
      </x:c>
      <x:c r="C4" t="str">
        <x:v>Overdue</x:v>
      </x:c>
      <x:c r="E4" t="str">
        <x:v>Ankit Suri</x:v>
      </x:c>
    </x:row>
    <x:row r="5">
      <x:c r="A5" t="str">
        <x:v>Structure Completion</x:v>
      </x:c>
      <x:c r="C5" t="str">
        <x:v>Not Due</x:v>
      </x:c>
      <x:c r="E5" t="str">
        <x:v>Priya Menon</x:v>
      </x:c>
    </x:row>
    <x:row r="6">
      <x:c r="A6" t="str">
        <x:v>Brickwork Completion</x:v>
      </x:c>
      <x:c r="C6" t="str">
        <x:v>Due Date Missing</x:v>
      </x:c>
      <x:c r="E6" t="str">
        <x:v>Kunal Shah</x:v>
      </x:c>
    </x:row>
    <x:row r="7">
      <x:c r="A7" t="str">
        <x:v>Finishing Completion</x:v>
      </x:c>
      <x:c r="E7" t="str">
        <x:v>Tanvi Rao</x:v>
      </x:c>
    </x:row>
    <x:row r="8">
      <x:c r="A8" t="str">
        <x:v>Possession</x:v>
      </x:c>
    </x:row>
  </x:sheetData>
  <x:pageMargins left="0.7" right="0.7" top="0.75" bottom="0.75" header="0.3" footer="0.3"/>
</x:worksheet>
</file>